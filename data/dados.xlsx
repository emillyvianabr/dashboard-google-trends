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dae294be3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cab61eedba84708"/>
    <x:sheet xmlns:r="http://schemas.openxmlformats.org/officeDocument/2006/relationships" name="serie_mensal" sheetId="2" r:id="R838686fbc6f84a11"/>
    <x:sheet xmlns:r="http://schemas.openxmlformats.org/officeDocument/2006/relationships" name="resumo_mercados" sheetId="3" r:id="Rb358e22c279749be"/>
    <x:sheet xmlns:r="http://schemas.openxmlformats.org/officeDocument/2006/relationships" name="sazonalidade" sheetId="4" r:id="Ra7e759205adf4055"/>
    <x:sheet xmlns:r="http://schemas.openxmlformats.org/officeDocument/2006/relationships" name="picos" sheetId="5" r:id="R25416d9974d0495f"/>
    <x:sheet xmlns:r="http://schemas.openxmlformats.org/officeDocument/2006/relationships" name="geo_2026" sheetId="6" r:id="R6b5e561e3243454a"/>
    <x:sheet xmlns:r="http://schemas.openxmlformats.org/officeDocument/2006/relationships" name="dashboard_data" sheetId="7" r:id="R2f138f58e673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"/>
    <x:numFmt numFmtId="203" formatCode="0.0%"/>
    <x:numFmt numFmtId="204" formatCode="0.00"/>
    <x:numFmt numFmtId="205" formatCode="m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47C20"/>
      </x:patternFill>
    </x:fill>
    <x:fill>
      <x:patternFill patternType="solid">
        <x:fgColor rgb="FFB84E0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0d96218c9410b" /><Relationship Type="http://schemas.openxmlformats.org/officeDocument/2006/relationships/theme" Target="/xl/theme/theme1.xml" Id="Rded2e649a7744628" /><Relationship Type="http://schemas.openxmlformats.org/officeDocument/2006/relationships/sharedStrings" Target="/xl/sharedStrings.xml" Id="R725976dc7e30464c" /><Relationship Type="http://schemas.openxmlformats.org/officeDocument/2006/relationships/worksheet" Target="/xl/worksheets/sheet1.xml" Id="R7cab61eedba84708" /><Relationship Type="http://schemas.openxmlformats.org/officeDocument/2006/relationships/worksheet" Target="/xl/worksheets/sheet2.xml" Id="R838686fbc6f84a11" /><Relationship Type="http://schemas.openxmlformats.org/officeDocument/2006/relationships/worksheet" Target="/xl/worksheets/sheet3.xml" Id="Rb358e22c279749be" /><Relationship Type="http://schemas.openxmlformats.org/officeDocument/2006/relationships/worksheet" Target="/xl/worksheets/sheet4.xml" Id="Ra7e759205adf4055" /><Relationship Type="http://schemas.openxmlformats.org/officeDocument/2006/relationships/worksheet" Target="/xl/worksheets/sheet5.xml" Id="R25416d9974d0495f" /><Relationship Type="http://schemas.openxmlformats.org/officeDocument/2006/relationships/worksheet" Target="/xl/worksheets/sheet6.xml" Id="R6b5e561e3243454a" /><Relationship Type="http://schemas.openxmlformats.org/officeDocument/2006/relationships/worksheet" Target="/xl/worksheets/sheet7.xml" Id="R2f138f58e67346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c93e237ea547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Interesse médio 2026 (jan–ago)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media_2026</c:v>
          </c:tx>
          <c:cat>
            <c:strRef>
              <c:f>'dashboard_data'!$B$2:$B$9</c:f>
              <c:strCache>
                <c:ptCount val="0"/>
              </c:strCache>
            </c:strRef>
          </c:cat>
          <c:val>
            <c:numRef>
              <c:f>'dashboard_data'!$C$2:$C$9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93e237ea547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rieMensal" displayName="SerieMensal" ref="A1:H257" headerRowCount="1" totalsRowCount="0" totalsRowShown="0">
  <x:tableColumns count="8">
    <x:tableColumn id="1" name="data"/>
    <x:tableColumn id="2" name="ano"/>
    <x:tableColumn id="3" name="mes_num"/>
    <x:tableColumn id="4" name="mes"/>
    <x:tableColumn id="5" name="mercado_codigo"/>
    <x:tableColumn id="6" name="mercado"/>
    <x:tableColumn id="7" name="indice_trends"/>
    <x:tableColumn id="8" name="termo_google_tren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oMercados" displayName="ResumoMercados" ref="A1:J9" headerRowCount="1" totalsRowCount="0" totalsRowShown="0">
  <x:tableColumns count="10">
    <x:tableColumn id="1" name="mercado_codigo"/>
    <x:tableColumn id="2" name="mercado"/>
    <x:tableColumn id="3" name="media_2025_jan_ago"/>
    <x:tableColumn id="4" name="media_2026_jan_ago"/>
    <x:tableColumn id="5" name="yoy_pct"/>
    <x:tableColumn id="6" name="media_ultimos_3m"/>
    <x:tableColumn id="7" name="media_3m_anteriores"/>
    <x:tableColumn id="8" name="momentum_pct"/>
    <x:tableColumn id="9" name="volatilidade"/>
    <x:tableColumn id="10" name="status_moment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zonalidade" displayName="Sazonalidade" ref="A1:N9" headerRowCount="1" totalsRowCount="0" totalsRowShown="0">
  <x:tableColumns count="14">
    <x:tableColumn id="1" name="mercado_codigo"/>
    <x:tableColumn id="2" name="mercado"/>
    <x:tableColumn id="3" name="Jan"/>
    <x:tableColumn id="4" name="Fev"/>
    <x:tableColumn id="5" name="Mar"/>
    <x:tableColumn id="6" name="Abr"/>
    <x:tableColumn id="7" name="Mai"/>
    <x:tableColumn id="8" name="Jun"/>
    <x:tableColumn id="9" name="Jul"/>
    <x:tableColumn id="10" name="Ago"/>
    <x:tableColumn id="11" name="Set"/>
    <x:tableColumn id="12" name="Out"/>
    <x:tableColumn id="13" name="Nov"/>
    <x:tableColumn id="14" name="Dez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cos" displayName="Picos" ref="A1:G41" headerRowCount="1" totalsRowCount="0" totalsRowShown="0">
  <x:tableColumns count="7">
    <x:tableColumn id="1" name="mercado_codigo"/>
    <x:tableColumn id="2" name="mercado"/>
    <x:tableColumn id="3" name="rank_pico"/>
    <x:tableColumn id="4" name="data"/>
    <x:tableColumn id="5" name="indice_trends"/>
    <x:tableColumn id="6" name="ano"/>
    <x:tableColumn id="7" name="m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eo2026" displayName="Geo2026" ref="A1:E251" headerRowCount="1" totalsRowCount="0" totalsRowShown="0">
  <x:tableColumns count="5">
    <x:tableColumn id="1" name="pais"/>
    <x:tableColumn id="2" name="indice_trends_num"/>
    <x:tableColumn id="3" name="indice_trends_exibicao"/>
    <x:tableColumn id="4" name="termo_google_trends"/>
    <x:tableColumn id="5" name="an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shboardData" displayName="DashboardData" ref="A1:H9" headerRowCount="1" totalsRowCount="0" totalsRowShown="0">
  <x:tableColumns count="8">
    <x:tableColumn id="1" name="mercado_codigo"/>
    <x:tableColumn id="2" name="mercado"/>
    <x:tableColumn id="3" name="media_2026"/>
    <x:tableColumn id="4" name="yoy_pct"/>
    <x:tableColumn id="5" name="momentum_pct"/>
    <x:tableColumn id="6" name="volatilidade"/>
    <x:tableColumn id="7" name="melhor_mes_sazonal"/>
    <x:tableColumn id="8" name="indice_melhor_m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0126649a46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8311afda08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af018fe15540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e6719dd53941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8fd39ed9b645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345cf5d955c43c3" /><Relationship Type="http://schemas.openxmlformats.org/officeDocument/2006/relationships/table" Target="/xl/tables/table6.xml" Id="Rc89a6989a53d4e2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  <x:col min="4" max="4" width="20" hidden="0" customWidth="1"/>
    <x:col min="5" max="5" width="38" hidden="0" customWidth="1"/>
    <x:col min="6" max="6" width="20" hidden="0" customWidth="1"/>
    <x:col min="7" max="7" width="38" hidden="0" customWidth="1"/>
    <x:col min="8" max="8" width="12" hidden="0" customWidth="1"/>
  </x:cols>
  <x:sheetData>
    <x:row r="1">
      <x:c r="A1" s="3" t="str">
        <x:v>Google Trends — Base Bondinho / Pão de Açúcar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Campo</x:v>
      </x:c>
      <x:c r="B3" s="12" t="str">
        <x:v>Descrição</x:v>
      </x:c>
      <x:c r="D3" s="12" t="str">
        <x:v>Indicador</x:v>
      </x:c>
      <x:c r="E3" s="12" t="str">
        <x:v>Definição</x:v>
      </x:c>
      <x:c r="F3" s="12" t="str">
        <x:v>Uso</x:v>
      </x:c>
      <x:c r="G3" s="12" t="str">
        <x:v>Observação</x:v>
      </x:c>
      <x:c r="H3" s="12" t="str">
        <x:v>Status</x:v>
      </x:c>
    </x:row>
    <x:row r="4">
      <x:c r="A4" s="13" t="str">
        <x:v>Objetivo</x:v>
      </x:c>
      <x:c r="B4" s="14" t="str">
        <x:v>Base estruturada para o primeiro dashboard do atrativo, olhando apenas Bondinho/Pão de Açúcar.</x:v>
      </x:c>
      <x:c r="D4" s="14" t="str">
        <x:v>Interesse médio</x:v>
      </x:c>
      <x:c r="E4" s="14" t="str">
        <x:v>Média do índice no período</x:v>
      </x:c>
      <x:c r="F4" s="14" t="str">
        <x:v>KPI / ranking</x:v>
      </x:c>
      <x:c r="G4" s="14" t="str">
        <x:v>Índice relativo</x:v>
      </x:c>
      <x:c r="H4" s="14" t="str">
        <x:v>Pronto</x:v>
      </x:c>
    </x:row>
    <x:row r="5">
      <x:c r="A5" s="13" t="str">
        <x:v>Termo nos CSVs</x:v>
      </x:c>
      <x:c r="B5" s="14" t="str">
        <x:v>Pão de Açúcar</x:v>
      </x:c>
      <x:c r="D5" s="14" t="str">
        <x:v>YoY</x:v>
      </x:c>
      <x:c r="E5" s="14" t="str">
        <x:v>Média jan–ago/2026 vs. jan–ago/2025</x:v>
      </x:c>
      <x:c r="F5" s="14" t="str">
        <x:v>KPI / ranking</x:v>
      </x:c>
      <x:c r="G5" s="14" t="str">
        <x:v>Mesmo período</x:v>
      </x:c>
      <x:c r="H5" s="14" t="str">
        <x:v>Pronto</x:v>
      </x:c>
    </x:row>
    <x:row r="6">
      <x:c r="A6" s="13" t="str">
        <x:v>Período</x:v>
      </x:c>
      <x:c r="B6" s="14" t="str">
        <x:v>jan/2024 a ago/2026</x:v>
      </x:c>
      <x:c r="D6" s="14" t="str">
        <x:v>Momentum</x:v>
      </x:c>
      <x:c r="E6" s="14" t="str">
        <x:v>Jun–ago/2026 vs. mar–mai/2026</x:v>
      </x:c>
      <x:c r="F6" s="14" t="str">
        <x:v>KPI</x:v>
      </x:c>
      <x:c r="G6" s="14" t="str">
        <x:v>Adaptado à frequência mensal</x:v>
      </x:c>
      <x:c r="H6" s="14" t="str">
        <x:v>Pronto</x:v>
      </x:c>
    </x:row>
    <x:row r="7">
      <x:c r="A7" s="13" t="str">
        <x:v>Mercados</x:v>
      </x:c>
      <x:c r="B7" s="14" t="str">
        <x:v>Brasil, Argentina, Uruguai, França, Chile, Estados Unidos, Colômbia e Mundo</x:v>
      </x:c>
      <x:c r="D7" s="14" t="str">
        <x:v>Sazonalidade</x:v>
      </x:c>
      <x:c r="E7" s="14" t="str">
        <x:v>Média do mês / média geral do mercado</x:v>
      </x:c>
      <x:c r="F7" s="14" t="str">
        <x:v>Heatmap</x:v>
      </x:c>
      <x:c r="G7" s="14" t="str">
        <x:v>&gt;1 acima do normal</x:v>
      </x:c>
      <x:c r="H7" s="14" t="str">
        <x:v>Pronto</x:v>
      </x:c>
    </x:row>
    <x:row r="8">
      <x:c r="A8" s="13" t="str">
        <x:v>Unidade</x:v>
      </x:c>
      <x:c r="B8" s="14" t="str">
        <x:v>Índice relativo do Google Trends (0–100). Não representa volume absoluto de buscas.</x:v>
      </x:c>
      <x:c r="D8" s="14" t="str">
        <x:v>Volatilidade</x:v>
      </x:c>
      <x:c r="E8" s="14" t="str">
        <x:v>Desvio-padrão / média</x:v>
      </x:c>
      <x:c r="F8" s="14" t="str">
        <x:v>Estabilidade</x:v>
      </x:c>
      <x:c r="G8" s="14" t="str">
        <x:v>Quanto maior, mais oscilante</x:v>
      </x:c>
      <x:c r="H8" s="14" t="str">
        <x:v>Pronto</x:v>
      </x:c>
    </x:row>
    <x:row r="9">
      <x:c r="A9" s="13" t="str">
        <x:v>Comparabilidade</x:v>
      </x:c>
      <x:c r="B9" s="14" t="str">
        <x:v>Compare mercados com cautela: o Trends normaliza cada série conforme a configuração usada na exportação.</x:v>
      </x:c>
      <x:c r="D9" s="14" t="str">
        <x:v>Picos</x:v>
      </x:c>
      <x:c r="E9" s="14" t="str">
        <x:v>Top 5 meses de cada mercado</x:v>
      </x:c>
      <x:c r="F9" s="14" t="str">
        <x:v>Tabela</x:v>
      </x:c>
      <x:c r="G9" s="14" t="str">
        <x:v>Pode receber eventos depois</x:v>
      </x:c>
      <x:c r="H9" s="14" t="str">
        <x:v>Pronto</x:v>
      </x:c>
    </x:row>
    <x:row r="10">
      <x:c r="A10" s="13" t="str">
        <x:v>2026 parcial</x:v>
      </x:c>
      <x:c r="B10" s="14" t="str">
        <x:v>Agosto/2026 é o último mês disponível nos arquivos enviados.</x:v>
      </x:c>
      <x:c r="D10" s="14" t="str">
        <x:v>Geo</x:v>
      </x:c>
      <x:c r="E10" s="14" t="str">
        <x:v>Interesse relativo por país em 2026</x:v>
      </x:c>
      <x:c r="F10" s="14" t="str">
        <x:v>Mapa / ranking</x:v>
      </x:c>
      <x:c r="G10" s="14" t="str">
        <x:v>Arquivo geográfico separado</x:v>
      </x:c>
      <x:c r="H10" s="14" t="str">
        <x:v>Pronto</x:v>
      </x:c>
    </x:row>
    <x:row r="11">
      <x:c r="A11" s="13" t="str">
        <x:v>Geo 2026</x:v>
      </x:c>
      <x:c r="B11" s="14" t="str">
        <x:v>Valores '&lt;1' foram convertidos para 0,5 na coluna numérica e preservados na coluna de exibição.</x:v>
      </x:c>
    </x:row>
    <x:row r="12">
      <x:c r="A12" s="13" t="str">
        <x:v>Uso no GitHub</x:v>
      </x:c>
      <x:c r="B12" s="14" t="str">
        <x:v>Use serie_mensal como fonte principal. As demais abas são tabelas auxiliares para o dashboard.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0" hidden="0" customWidth="1"/>
    <x:col min="4" max="4" width="10" hidden="0" customWidth="1"/>
    <x:col min="5" max="5" width="17" hidden="0" customWidth="1"/>
    <x:col min="6" max="6" width="20" hidden="0" customWidth="1"/>
    <x:col min="7" max="7" width="15" hidden="0" customWidth="1"/>
    <x:col min="8" max="8" width="23" hidden="0" customWidth="1"/>
  </x:cols>
  <x:sheetData>
    <x:row r="1">
      <x:c r="A1" s="7" t="str">
        <x:v>data</x:v>
      </x:c>
      <x:c r="B1" s="7" t="str">
        <x:v>ano</x:v>
      </x:c>
      <x:c r="C1" s="7" t="str">
        <x:v>mes_num</x:v>
      </x:c>
      <x:c r="D1" s="7" t="str">
        <x:v>mes</x:v>
      </x:c>
      <x:c r="E1" s="7" t="str">
        <x:v>mercado_codigo</x:v>
      </x:c>
      <x:c r="F1" s="7" t="str">
        <x:v>mercado</x:v>
      </x:c>
      <x:c r="G1" s="7" t="str">
        <x:v>indice_trends</x:v>
      </x:c>
      <x:c r="H1" s="7" t="str">
        <x:v>termo_google_trends</x:v>
      </x:c>
    </x:row>
    <x:row r="2">
      <x:c r="A2" s="18" t="n">
        <x:v>45292</x:v>
      </x:c>
      <x:c r="B2" t="n">
        <x:v>2024</x:v>
      </x:c>
      <x:c r="C2" t="n">
        <x:v>1</x:v>
      </x:c>
      <x:c r="D2" t="str">
        <x:v>Jan</x:v>
      </x:c>
      <x:c r="E2" t="str">
        <x:v>AR</x:v>
      </x:c>
      <x:c r="F2" t="str">
        <x:v>Argentina</x:v>
      </x:c>
      <x:c r="G2" s="20" t="n">
        <x:v>51</x:v>
      </x:c>
      <x:c r="H2" t="str">
        <x:v>Pão de Açúcar</x:v>
      </x:c>
    </x:row>
    <x:row r="3">
      <x:c r="A3" s="18" t="n">
        <x:v>45292</x:v>
      </x:c>
      <x:c r="B3" t="n">
        <x:v>2024</x:v>
      </x:c>
      <x:c r="C3" t="n">
        <x:v>1</x:v>
      </x:c>
      <x:c r="D3" t="str">
        <x:v>Jan</x:v>
      </x:c>
      <x:c r="E3" t="str">
        <x:v>BR</x:v>
      </x:c>
      <x:c r="F3" t="str">
        <x:v>Brasil</x:v>
      </x:c>
      <x:c r="G3" s="20" t="n">
        <x:v>88</x:v>
      </x:c>
      <x:c r="H3" t="str">
        <x:v>Pão de Açúcar</x:v>
      </x:c>
    </x:row>
    <x:row r="4">
      <x:c r="A4" s="18" t="n">
        <x:v>45292</x:v>
      </x:c>
      <x:c r="B4" t="n">
        <x:v>2024</x:v>
      </x:c>
      <x:c r="C4" t="n">
        <x:v>1</x:v>
      </x:c>
      <x:c r="D4" t="str">
        <x:v>Jan</x:v>
      </x:c>
      <x:c r="E4" t="str">
        <x:v>CL</x:v>
      </x:c>
      <x:c r="F4" t="str">
        <x:v>Chile</x:v>
      </x:c>
      <x:c r="G4" s="20" t="n">
        <x:v>61</x:v>
      </x:c>
      <x:c r="H4" t="str">
        <x:v>Pão de Açúcar</x:v>
      </x:c>
    </x:row>
    <x:row r="5">
      <x:c r="A5" s="18" t="n">
        <x:v>45292</x:v>
      </x:c>
      <x:c r="B5" t="n">
        <x:v>2024</x:v>
      </x:c>
      <x:c r="C5" t="n">
        <x:v>1</x:v>
      </x:c>
      <x:c r="D5" t="str">
        <x:v>Jan</x:v>
      </x:c>
      <x:c r="E5" t="str">
        <x:v>CO</x:v>
      </x:c>
      <x:c r="F5" t="str">
        <x:v>Colômbia</x:v>
      </x:c>
      <x:c r="G5" s="20" t="n">
        <x:v>38</x:v>
      </x:c>
      <x:c r="H5" t="str">
        <x:v>Pão de Açúcar</x:v>
      </x:c>
    </x:row>
    <x:row r="6">
      <x:c r="A6" s="18" t="n">
        <x:v>45292</x:v>
      </x:c>
      <x:c r="B6" t="n">
        <x:v>2024</x:v>
      </x:c>
      <x:c r="C6" t="n">
        <x:v>1</x:v>
      </x:c>
      <x:c r="D6" t="str">
        <x:v>Jan</x:v>
      </x:c>
      <x:c r="E6" t="str">
        <x:v>FR</x:v>
      </x:c>
      <x:c r="F6" t="str">
        <x:v>França</x:v>
      </x:c>
      <x:c r="G6" s="20" t="n">
        <x:v>55</x:v>
      </x:c>
      <x:c r="H6" t="str">
        <x:v>Pão de Açúcar</x:v>
      </x:c>
    </x:row>
    <x:row r="7">
      <x:c r="A7" s="18" t="n">
        <x:v>45292</x:v>
      </x:c>
      <x:c r="B7" t="n">
        <x:v>2024</x:v>
      </x:c>
      <x:c r="C7" t="n">
        <x:v>1</x:v>
      </x:c>
      <x:c r="D7" t="str">
        <x:v>Jan</x:v>
      </x:c>
      <x:c r="E7" t="str">
        <x:v>US</x:v>
      </x:c>
      <x:c r="F7" t="str">
        <x:v>Estados Unidos</x:v>
      </x:c>
      <x:c r="G7" s="20" t="n">
        <x:v>42</x:v>
      </x:c>
      <x:c r="H7" t="str">
        <x:v>Pão de Açúcar</x:v>
      </x:c>
    </x:row>
    <x:row r="8">
      <x:c r="A8" s="18" t="n">
        <x:v>45292</x:v>
      </x:c>
      <x:c r="B8" t="n">
        <x:v>2024</x:v>
      </x:c>
      <x:c r="C8" t="n">
        <x:v>1</x:v>
      </x:c>
      <x:c r="D8" t="str">
        <x:v>Jan</x:v>
      </x:c>
      <x:c r="E8" t="str">
        <x:v>UY</x:v>
      </x:c>
      <x:c r="F8" t="str">
        <x:v>Uruguai</x:v>
      </x:c>
      <x:c r="G8" s="20" t="n">
        <x:v>41</x:v>
      </x:c>
      <x:c r="H8" t="str">
        <x:v>Pão de Açúcar</x:v>
      </x:c>
    </x:row>
    <x:row r="9">
      <x:c r="A9" s="18" t="n">
        <x:v>45292</x:v>
      </x:c>
      <x:c r="B9" t="n">
        <x:v>2024</x:v>
      </x:c>
      <x:c r="C9" t="n">
        <x:v>1</x:v>
      </x:c>
      <x:c r="D9" t="str">
        <x:v>Jan</x:v>
      </x:c>
      <x:c r="E9" t="str">
        <x:v>WORLD</x:v>
      </x:c>
      <x:c r="F9" t="str">
        <x:v>Mundo</x:v>
      </x:c>
      <x:c r="G9" s="20" t="n">
        <x:v>81</x:v>
      </x:c>
      <x:c r="H9" t="str">
        <x:v>Pão de Açúcar</x:v>
      </x:c>
    </x:row>
    <x:row r="10">
      <x:c r="A10" s="18" t="n">
        <x:v>45323</x:v>
      </x:c>
      <x:c r="B10" t="n">
        <x:v>2024</x:v>
      </x:c>
      <x:c r="C10" t="n">
        <x:v>2</x:v>
      </x:c>
      <x:c r="D10" t="str">
        <x:v>Fev</x:v>
      </x:c>
      <x:c r="E10" t="str">
        <x:v>AR</x:v>
      </x:c>
      <x:c r="F10" t="str">
        <x:v>Argentina</x:v>
      </x:c>
      <x:c r="G10" s="20" t="n">
        <x:v>38</x:v>
      </x:c>
      <x:c r="H10" t="str">
        <x:v>Pão de Açúcar</x:v>
      </x:c>
    </x:row>
    <x:row r="11">
      <x:c r="A11" s="18" t="n">
        <x:v>45323</x:v>
      </x:c>
      <x:c r="B11" t="n">
        <x:v>2024</x:v>
      </x:c>
      <x:c r="C11" t="n">
        <x:v>2</x:v>
      </x:c>
      <x:c r="D11" t="str">
        <x:v>Fev</x:v>
      </x:c>
      <x:c r="E11" t="str">
        <x:v>BR</x:v>
      </x:c>
      <x:c r="F11" t="str">
        <x:v>Brasil</x:v>
      </x:c>
      <x:c r="G11" s="20" t="n">
        <x:v>81</x:v>
      </x:c>
      <x:c r="H11" t="str">
        <x:v>Pão de Açúcar</x:v>
      </x:c>
    </x:row>
    <x:row r="12">
      <x:c r="A12" s="18" t="n">
        <x:v>45323</x:v>
      </x:c>
      <x:c r="B12" t="n">
        <x:v>2024</x:v>
      </x:c>
      <x:c r="C12" t="n">
        <x:v>2</x:v>
      </x:c>
      <x:c r="D12" t="str">
        <x:v>Fev</x:v>
      </x:c>
      <x:c r="E12" t="str">
        <x:v>CL</x:v>
      </x:c>
      <x:c r="F12" t="str">
        <x:v>Chile</x:v>
      </x:c>
      <x:c r="G12" s="20" t="n">
        <x:v>57</x:v>
      </x:c>
      <x:c r="H12" t="str">
        <x:v>Pão de Açúcar</x:v>
      </x:c>
    </x:row>
    <x:row r="13">
      <x:c r="A13" s="18" t="n">
        <x:v>45323</x:v>
      </x:c>
      <x:c r="B13" t="n">
        <x:v>2024</x:v>
      </x:c>
      <x:c r="C13" t="n">
        <x:v>2</x:v>
      </x:c>
      <x:c r="D13" t="str">
        <x:v>Fev</x:v>
      </x:c>
      <x:c r="E13" t="str">
        <x:v>CO</x:v>
      </x:c>
      <x:c r="F13" t="str">
        <x:v>Colômbia</x:v>
      </x:c>
      <x:c r="G13" s="20" t="n">
        <x:v>26</x:v>
      </x:c>
      <x:c r="H13" t="str">
        <x:v>Pão de Açúcar</x:v>
      </x:c>
    </x:row>
    <x:row r="14">
      <x:c r="A14" s="18" t="n">
        <x:v>45323</x:v>
      </x:c>
      <x:c r="B14" t="n">
        <x:v>2024</x:v>
      </x:c>
      <x:c r="C14" t="n">
        <x:v>2</x:v>
      </x:c>
      <x:c r="D14" t="str">
        <x:v>Fev</x:v>
      </x:c>
      <x:c r="E14" t="str">
        <x:v>FR</x:v>
      </x:c>
      <x:c r="F14" t="str">
        <x:v>França</x:v>
      </x:c>
      <x:c r="G14" s="20" t="n">
        <x:v>65</x:v>
      </x:c>
      <x:c r="H14" t="str">
        <x:v>Pão de Açúcar</x:v>
      </x:c>
    </x:row>
    <x:row r="15">
      <x:c r="A15" s="18" t="n">
        <x:v>45323</x:v>
      </x:c>
      <x:c r="B15" t="n">
        <x:v>2024</x:v>
      </x:c>
      <x:c r="C15" t="n">
        <x:v>2</x:v>
      </x:c>
      <x:c r="D15" t="str">
        <x:v>Fev</x:v>
      </x:c>
      <x:c r="E15" t="str">
        <x:v>US</x:v>
      </x:c>
      <x:c r="F15" t="str">
        <x:v>Estados Unidos</x:v>
      </x:c>
      <x:c r="G15" s="20" t="n">
        <x:v>54</x:v>
      </x:c>
      <x:c r="H15" t="str">
        <x:v>Pão de Açúcar</x:v>
      </x:c>
    </x:row>
    <x:row r="16">
      <x:c r="A16" s="18" t="n">
        <x:v>45323</x:v>
      </x:c>
      <x:c r="B16" t="n">
        <x:v>2024</x:v>
      </x:c>
      <x:c r="C16" t="n">
        <x:v>2</x:v>
      </x:c>
      <x:c r="D16" t="str">
        <x:v>Fev</x:v>
      </x:c>
      <x:c r="E16" t="str">
        <x:v>UY</x:v>
      </x:c>
      <x:c r="F16" t="str">
        <x:v>Uruguai</x:v>
      </x:c>
      <x:c r="G16" s="20" t="n">
        <x:v>33</x:v>
      </x:c>
      <x:c r="H16" t="str">
        <x:v>Pão de Açúcar</x:v>
      </x:c>
    </x:row>
    <x:row r="17">
      <x:c r="A17" s="18" t="n">
        <x:v>45323</x:v>
      </x:c>
      <x:c r="B17" t="n">
        <x:v>2024</x:v>
      </x:c>
      <x:c r="C17" t="n">
        <x:v>2</x:v>
      </x:c>
      <x:c r="D17" t="str">
        <x:v>Fev</x:v>
      </x:c>
      <x:c r="E17" t="str">
        <x:v>WORLD</x:v>
      </x:c>
      <x:c r="F17" t="str">
        <x:v>Mundo</x:v>
      </x:c>
      <x:c r="G17" s="20" t="n">
        <x:v>69</x:v>
      </x:c>
      <x:c r="H17" t="str">
        <x:v>Pão de Açúcar</x:v>
      </x:c>
    </x:row>
    <x:row r="18">
      <x:c r="A18" s="18" t="n">
        <x:v>45352</x:v>
      </x:c>
      <x:c r="B18" t="n">
        <x:v>2024</x:v>
      </x:c>
      <x:c r="C18" t="n">
        <x:v>3</x:v>
      </x:c>
      <x:c r="D18" t="str">
        <x:v>Mar</x:v>
      </x:c>
      <x:c r="E18" t="str">
        <x:v>AR</x:v>
      </x:c>
      <x:c r="F18" t="str">
        <x:v>Argentina</x:v>
      </x:c>
      <x:c r="G18" s="20" t="n">
        <x:v>35</x:v>
      </x:c>
      <x:c r="H18" t="str">
        <x:v>Pão de Açúcar</x:v>
      </x:c>
    </x:row>
    <x:row r="19">
      <x:c r="A19" s="18" t="n">
        <x:v>45352</x:v>
      </x:c>
      <x:c r="B19" t="n">
        <x:v>2024</x:v>
      </x:c>
      <x:c r="C19" t="n">
        <x:v>3</x:v>
      </x:c>
      <x:c r="D19" t="str">
        <x:v>Mar</x:v>
      </x:c>
      <x:c r="E19" t="str">
        <x:v>BR</x:v>
      </x:c>
      <x:c r="F19" t="str">
        <x:v>Brasil</x:v>
      </x:c>
      <x:c r="G19" s="20" t="n">
        <x:v>67</x:v>
      </x:c>
      <x:c r="H19" t="str">
        <x:v>Pão de Açúcar</x:v>
      </x:c>
    </x:row>
    <x:row r="20">
      <x:c r="A20" s="18" t="n">
        <x:v>45352</x:v>
      </x:c>
      <x:c r="B20" t="n">
        <x:v>2024</x:v>
      </x:c>
      <x:c r="C20" t="n">
        <x:v>3</x:v>
      </x:c>
      <x:c r="D20" t="str">
        <x:v>Mar</x:v>
      </x:c>
      <x:c r="E20" t="str">
        <x:v>CL</x:v>
      </x:c>
      <x:c r="F20" t="str">
        <x:v>Chile</x:v>
      </x:c>
      <x:c r="G20" s="20" t="n">
        <x:v>39</x:v>
      </x:c>
      <x:c r="H20" t="str">
        <x:v>Pão de Açúcar</x:v>
      </x:c>
    </x:row>
    <x:row r="21">
      <x:c r="A21" s="18" t="n">
        <x:v>45352</x:v>
      </x:c>
      <x:c r="B21" t="n">
        <x:v>2024</x:v>
      </x:c>
      <x:c r="C21" t="n">
        <x:v>3</x:v>
      </x:c>
      <x:c r="D21" t="str">
        <x:v>Mar</x:v>
      </x:c>
      <x:c r="E21" t="str">
        <x:v>CO</x:v>
      </x:c>
      <x:c r="F21" t="str">
        <x:v>Colômbia</x:v>
      </x:c>
      <x:c r="G21" s="20" t="n">
        <x:v>42</x:v>
      </x:c>
      <x:c r="H21" t="str">
        <x:v>Pão de Açúcar</x:v>
      </x:c>
    </x:row>
    <x:row r="22">
      <x:c r="A22" s="18" t="n">
        <x:v>45352</x:v>
      </x:c>
      <x:c r="B22" t="n">
        <x:v>2024</x:v>
      </x:c>
      <x:c r="C22" t="n">
        <x:v>3</x:v>
      </x:c>
      <x:c r="D22" t="str">
        <x:v>Mar</x:v>
      </x:c>
      <x:c r="E22" t="str">
        <x:v>FR</x:v>
      </x:c>
      <x:c r="F22" t="str">
        <x:v>França</x:v>
      </x:c>
      <x:c r="G22" s="20" t="n">
        <x:v>56</x:v>
      </x:c>
      <x:c r="H22" t="str">
        <x:v>Pão de Açúcar</x:v>
      </x:c>
    </x:row>
    <x:row r="23">
      <x:c r="A23" s="18" t="n">
        <x:v>45352</x:v>
      </x:c>
      <x:c r="B23" t="n">
        <x:v>2024</x:v>
      </x:c>
      <x:c r="C23" t="n">
        <x:v>3</x:v>
      </x:c>
      <x:c r="D23" t="str">
        <x:v>Mar</x:v>
      </x:c>
      <x:c r="E23" t="str">
        <x:v>US</x:v>
      </x:c>
      <x:c r="F23" t="str">
        <x:v>Estados Unidos</x:v>
      </x:c>
      <x:c r="G23" s="20" t="n">
        <x:v>54</x:v>
      </x:c>
      <x:c r="H23" t="str">
        <x:v>Pão de Açúcar</x:v>
      </x:c>
    </x:row>
    <x:row r="24">
      <x:c r="A24" s="18" t="n">
        <x:v>45352</x:v>
      </x:c>
      <x:c r="B24" t="n">
        <x:v>2024</x:v>
      </x:c>
      <x:c r="C24" t="n">
        <x:v>3</x:v>
      </x:c>
      <x:c r="D24" t="str">
        <x:v>Mar</x:v>
      </x:c>
      <x:c r="E24" t="str">
        <x:v>UY</x:v>
      </x:c>
      <x:c r="F24" t="str">
        <x:v>Uruguai</x:v>
      </x:c>
      <x:c r="G24" s="20" t="n">
        <x:v>44</x:v>
      </x:c>
      <x:c r="H24" t="str">
        <x:v>Pão de Açúcar</x:v>
      </x:c>
    </x:row>
    <x:row r="25">
      <x:c r="A25" s="18" t="n">
        <x:v>45352</x:v>
      </x:c>
      <x:c r="B25" t="n">
        <x:v>2024</x:v>
      </x:c>
      <x:c r="C25" t="n">
        <x:v>3</x:v>
      </x:c>
      <x:c r="D25" t="str">
        <x:v>Mar</x:v>
      </x:c>
      <x:c r="E25" t="str">
        <x:v>WORLD</x:v>
      </x:c>
      <x:c r="F25" t="str">
        <x:v>Mundo</x:v>
      </x:c>
      <x:c r="G25" s="20" t="n">
        <x:v>61</x:v>
      </x:c>
      <x:c r="H25" t="str">
        <x:v>Pão de Açúcar</x:v>
      </x:c>
    </x:row>
    <x:row r="26">
      <x:c r="A26" s="18" t="n">
        <x:v>45383</x:v>
      </x:c>
      <x:c r="B26" t="n">
        <x:v>2024</x:v>
      </x:c>
      <x:c r="C26" t="n">
        <x:v>4</x:v>
      </x:c>
      <x:c r="D26" t="str">
        <x:v>Abr</x:v>
      </x:c>
      <x:c r="E26" t="str">
        <x:v>AR</x:v>
      </x:c>
      <x:c r="F26" t="str">
        <x:v>Argentina</x:v>
      </x:c>
      <x:c r="G26" s="20" t="n">
        <x:v>29</x:v>
      </x:c>
      <x:c r="H26" t="str">
        <x:v>Pão de Açúcar</x:v>
      </x:c>
    </x:row>
    <x:row r="27">
      <x:c r="A27" s="18" t="n">
        <x:v>45383</x:v>
      </x:c>
      <x:c r="B27" t="n">
        <x:v>2024</x:v>
      </x:c>
      <x:c r="C27" t="n">
        <x:v>4</x:v>
      </x:c>
      <x:c r="D27" t="str">
        <x:v>Abr</x:v>
      </x:c>
      <x:c r="E27" t="str">
        <x:v>BR</x:v>
      </x:c>
      <x:c r="F27" t="str">
        <x:v>Brasil</x:v>
      </x:c>
      <x:c r="G27" s="20" t="n">
        <x:v>64</x:v>
      </x:c>
      <x:c r="H27" t="str">
        <x:v>Pão de Açúcar</x:v>
      </x:c>
    </x:row>
    <x:row r="28">
      <x:c r="A28" s="18" t="n">
        <x:v>45383</x:v>
      </x:c>
      <x:c r="B28" t="n">
        <x:v>2024</x:v>
      </x:c>
      <x:c r="C28" t="n">
        <x:v>4</x:v>
      </x:c>
      <x:c r="D28" t="str">
        <x:v>Abr</x:v>
      </x:c>
      <x:c r="E28" t="str">
        <x:v>CL</x:v>
      </x:c>
      <x:c r="F28" t="str">
        <x:v>Chile</x:v>
      </x:c>
      <x:c r="G28" s="20" t="n">
        <x:v>32</x:v>
      </x:c>
      <x:c r="H28" t="str">
        <x:v>Pão de Açúcar</x:v>
      </x:c>
    </x:row>
    <x:row r="29">
      <x:c r="A29" s="18" t="n">
        <x:v>45383</x:v>
      </x:c>
      <x:c r="B29" t="n">
        <x:v>2024</x:v>
      </x:c>
      <x:c r="C29" t="n">
        <x:v>4</x:v>
      </x:c>
      <x:c r="D29" t="str">
        <x:v>Abr</x:v>
      </x:c>
      <x:c r="E29" t="str">
        <x:v>CO</x:v>
      </x:c>
      <x:c r="F29" t="str">
        <x:v>Colômbia</x:v>
      </x:c>
      <x:c r="G29" s="20" t="n">
        <x:v>42</x:v>
      </x:c>
      <x:c r="H29" t="str">
        <x:v>Pão de Açúcar</x:v>
      </x:c>
    </x:row>
    <x:row r="30">
      <x:c r="A30" s="18" t="n">
        <x:v>45383</x:v>
      </x:c>
      <x:c r="B30" t="n">
        <x:v>2024</x:v>
      </x:c>
      <x:c r="C30" t="n">
        <x:v>4</x:v>
      </x:c>
      <x:c r="D30" t="str">
        <x:v>Abr</x:v>
      </x:c>
      <x:c r="E30" t="str">
        <x:v>FR</x:v>
      </x:c>
      <x:c r="F30" t="str">
        <x:v>França</x:v>
      </x:c>
      <x:c r="G30" s="20" t="n">
        <x:v>49</x:v>
      </x:c>
      <x:c r="H30" t="str">
        <x:v>Pão de Açúcar</x:v>
      </x:c>
    </x:row>
    <x:row r="31">
      <x:c r="A31" s="18" t="n">
        <x:v>45383</x:v>
      </x:c>
      <x:c r="B31" t="n">
        <x:v>2024</x:v>
      </x:c>
      <x:c r="C31" t="n">
        <x:v>4</x:v>
      </x:c>
      <x:c r="D31" t="str">
        <x:v>Abr</x:v>
      </x:c>
      <x:c r="E31" t="str">
        <x:v>US</x:v>
      </x:c>
      <x:c r="F31" t="str">
        <x:v>Estados Unidos</x:v>
      </x:c>
      <x:c r="G31" s="20" t="n">
        <x:v>53</x:v>
      </x:c>
      <x:c r="H31" t="str">
        <x:v>Pão de Açúcar</x:v>
      </x:c>
    </x:row>
    <x:row r="32">
      <x:c r="A32" s="18" t="n">
        <x:v>45383</x:v>
      </x:c>
      <x:c r="B32" t="n">
        <x:v>2024</x:v>
      </x:c>
      <x:c r="C32" t="n">
        <x:v>4</x:v>
      </x:c>
      <x:c r="D32" t="str">
        <x:v>Abr</x:v>
      </x:c>
      <x:c r="E32" t="str">
        <x:v>UY</x:v>
      </x:c>
      <x:c r="F32" t="str">
        <x:v>Uruguai</x:v>
      </x:c>
      <x:c r="G32" s="20" t="n">
        <x:v>0</x:v>
      </x:c>
      <x:c r="H32" t="str">
        <x:v>Pão de Açúcar</x:v>
      </x:c>
    </x:row>
    <x:row r="33">
      <x:c r="A33" s="18" t="n">
        <x:v>45383</x:v>
      </x:c>
      <x:c r="B33" t="n">
        <x:v>2024</x:v>
      </x:c>
      <x:c r="C33" t="n">
        <x:v>4</x:v>
      </x:c>
      <x:c r="D33" t="str">
        <x:v>Abr</x:v>
      </x:c>
      <x:c r="E33" t="str">
        <x:v>WORLD</x:v>
      </x:c>
      <x:c r="F33" t="str">
        <x:v>Mundo</x:v>
      </x:c>
      <x:c r="G33" s="20" t="n">
        <x:v>63</x:v>
      </x:c>
      <x:c r="H33" t="str">
        <x:v>Pão de Açúcar</x:v>
      </x:c>
    </x:row>
    <x:row r="34">
      <x:c r="A34" s="18" t="n">
        <x:v>45413</x:v>
      </x:c>
      <x:c r="B34" t="n">
        <x:v>2024</x:v>
      </x:c>
      <x:c r="C34" t="n">
        <x:v>5</x:v>
      </x:c>
      <x:c r="D34" t="str">
        <x:v>Mai</x:v>
      </x:c>
      <x:c r="E34" t="str">
        <x:v>AR</x:v>
      </x:c>
      <x:c r="F34" t="str">
        <x:v>Argentina</x:v>
      </x:c>
      <x:c r="G34" s="20" t="n">
        <x:v>28</x:v>
      </x:c>
      <x:c r="H34" t="str">
        <x:v>Pão de Açúcar</x:v>
      </x:c>
    </x:row>
    <x:row r="35">
      <x:c r="A35" s="18" t="n">
        <x:v>45413</x:v>
      </x:c>
      <x:c r="B35" t="n">
        <x:v>2024</x:v>
      </x:c>
      <x:c r="C35" t="n">
        <x:v>5</x:v>
      </x:c>
      <x:c r="D35" t="str">
        <x:v>Mai</x:v>
      </x:c>
      <x:c r="E35" t="str">
        <x:v>BR</x:v>
      </x:c>
      <x:c r="F35" t="str">
        <x:v>Brasil</x:v>
      </x:c>
      <x:c r="G35" s="20" t="n">
        <x:v>59</x:v>
      </x:c>
      <x:c r="H35" t="str">
        <x:v>Pão de Açúcar</x:v>
      </x:c>
    </x:row>
    <x:row r="36">
      <x:c r="A36" s="18" t="n">
        <x:v>45413</x:v>
      </x:c>
      <x:c r="B36" t="n">
        <x:v>2024</x:v>
      </x:c>
      <x:c r="C36" t="n">
        <x:v>5</x:v>
      </x:c>
      <x:c r="D36" t="str">
        <x:v>Mai</x:v>
      </x:c>
      <x:c r="E36" t="str">
        <x:v>CL</x:v>
      </x:c>
      <x:c r="F36" t="str">
        <x:v>Chile</x:v>
      </x:c>
      <x:c r="G36" s="20" t="n">
        <x:v>32</x:v>
      </x:c>
      <x:c r="H36" t="str">
        <x:v>Pão de Açúcar</x:v>
      </x:c>
    </x:row>
    <x:row r="37">
      <x:c r="A37" s="18" t="n">
        <x:v>45413</x:v>
      </x:c>
      <x:c r="B37" t="n">
        <x:v>2024</x:v>
      </x:c>
      <x:c r="C37" t="n">
        <x:v>5</x:v>
      </x:c>
      <x:c r="D37" t="str">
        <x:v>Mai</x:v>
      </x:c>
      <x:c r="E37" t="str">
        <x:v>CO</x:v>
      </x:c>
      <x:c r="F37" t="str">
        <x:v>Colômbia</x:v>
      </x:c>
      <x:c r="G37" s="20" t="n">
        <x:v>34</x:v>
      </x:c>
      <x:c r="H37" t="str">
        <x:v>Pão de Açúcar</x:v>
      </x:c>
    </x:row>
    <x:row r="38">
      <x:c r="A38" s="18" t="n">
        <x:v>45413</x:v>
      </x:c>
      <x:c r="B38" t="n">
        <x:v>2024</x:v>
      </x:c>
      <x:c r="C38" t="n">
        <x:v>5</x:v>
      </x:c>
      <x:c r="D38" t="str">
        <x:v>Mai</x:v>
      </x:c>
      <x:c r="E38" t="str">
        <x:v>FR</x:v>
      </x:c>
      <x:c r="F38" t="str">
        <x:v>França</x:v>
      </x:c>
      <x:c r="G38" s="20" t="n">
        <x:v>60</x:v>
      </x:c>
      <x:c r="H38" t="str">
        <x:v>Pão de Açúcar</x:v>
      </x:c>
    </x:row>
    <x:row r="39">
      <x:c r="A39" s="18" t="n">
        <x:v>45413</x:v>
      </x:c>
      <x:c r="B39" t="n">
        <x:v>2024</x:v>
      </x:c>
      <x:c r="C39" t="n">
        <x:v>5</x:v>
      </x:c>
      <x:c r="D39" t="str">
        <x:v>Mai</x:v>
      </x:c>
      <x:c r="E39" t="str">
        <x:v>US</x:v>
      </x:c>
      <x:c r="F39" t="str">
        <x:v>Estados Unidos</x:v>
      </x:c>
      <x:c r="G39" s="20" t="n">
        <x:v>53</x:v>
      </x:c>
      <x:c r="H39" t="str">
        <x:v>Pão de Açúcar</x:v>
      </x:c>
    </x:row>
    <x:row r="40">
      <x:c r="A40" s="18" t="n">
        <x:v>45413</x:v>
      </x:c>
      <x:c r="B40" t="n">
        <x:v>2024</x:v>
      </x:c>
      <x:c r="C40" t="n">
        <x:v>5</x:v>
      </x:c>
      <x:c r="D40" t="str">
        <x:v>Mai</x:v>
      </x:c>
      <x:c r="E40" t="str">
        <x:v>UY</x:v>
      </x:c>
      <x:c r="F40" t="str">
        <x:v>Uruguai</x:v>
      </x:c>
      <x:c r="G40" s="20" t="n">
        <x:v>0</x:v>
      </x:c>
      <x:c r="H40" t="str">
        <x:v>Pão de Açúcar</x:v>
      </x:c>
    </x:row>
    <x:row r="41">
      <x:c r="A41" s="18" t="n">
        <x:v>45413</x:v>
      </x:c>
      <x:c r="B41" t="n">
        <x:v>2024</x:v>
      </x:c>
      <x:c r="C41" t="n">
        <x:v>5</x:v>
      </x:c>
      <x:c r="D41" t="str">
        <x:v>Mai</x:v>
      </x:c>
      <x:c r="E41" t="str">
        <x:v>WORLD</x:v>
      </x:c>
      <x:c r="F41" t="str">
        <x:v>Mundo</x:v>
      </x:c>
      <x:c r="G41" s="20" t="n">
        <x:v>58</x:v>
      </x:c>
      <x:c r="H41" t="str">
        <x:v>Pão de Açúcar</x:v>
      </x:c>
    </x:row>
    <x:row r="42">
      <x:c r="A42" s="18" t="n">
        <x:v>45444</x:v>
      </x:c>
      <x:c r="B42" t="n">
        <x:v>2024</x:v>
      </x:c>
      <x:c r="C42" t="n">
        <x:v>6</x:v>
      </x:c>
      <x:c r="D42" t="str">
        <x:v>Jun</x:v>
      </x:c>
      <x:c r="E42" t="str">
        <x:v>AR</x:v>
      </x:c>
      <x:c r="F42" t="str">
        <x:v>Argentina</x:v>
      </x:c>
      <x:c r="G42" s="20" t="n">
        <x:v>29</x:v>
      </x:c>
      <x:c r="H42" t="str">
        <x:v>Pão de Açúcar</x:v>
      </x:c>
    </x:row>
    <x:row r="43">
      <x:c r="A43" s="18" t="n">
        <x:v>45444</x:v>
      </x:c>
      <x:c r="B43" t="n">
        <x:v>2024</x:v>
      </x:c>
      <x:c r="C43" t="n">
        <x:v>6</x:v>
      </x:c>
      <x:c r="D43" t="str">
        <x:v>Jun</x:v>
      </x:c>
      <x:c r="E43" t="str">
        <x:v>BR</x:v>
      </x:c>
      <x:c r="F43" t="str">
        <x:v>Brasil</x:v>
      </x:c>
      <x:c r="G43" s="20" t="n">
        <x:v>57</x:v>
      </x:c>
      <x:c r="H43" t="str">
        <x:v>Pão de Açúcar</x:v>
      </x:c>
    </x:row>
    <x:row r="44">
      <x:c r="A44" s="18" t="n">
        <x:v>45444</x:v>
      </x:c>
      <x:c r="B44" t="n">
        <x:v>2024</x:v>
      </x:c>
      <x:c r="C44" t="n">
        <x:v>6</x:v>
      </x:c>
      <x:c r="D44" t="str">
        <x:v>Jun</x:v>
      </x:c>
      <x:c r="E44" t="str">
        <x:v>CL</x:v>
      </x:c>
      <x:c r="F44" t="str">
        <x:v>Chile</x:v>
      </x:c>
      <x:c r="G44" s="20" t="n">
        <x:v>29</x:v>
      </x:c>
      <x:c r="H44" t="str">
        <x:v>Pão de Açúcar</x:v>
      </x:c>
    </x:row>
    <x:row r="45">
      <x:c r="A45" s="18" t="n">
        <x:v>45444</x:v>
      </x:c>
      <x:c r="B45" t="n">
        <x:v>2024</x:v>
      </x:c>
      <x:c r="C45" t="n">
        <x:v>6</x:v>
      </x:c>
      <x:c r="D45" t="str">
        <x:v>Jun</x:v>
      </x:c>
      <x:c r="E45" t="str">
        <x:v>CO</x:v>
      </x:c>
      <x:c r="F45" t="str">
        <x:v>Colômbia</x:v>
      </x:c>
      <x:c r="G45" s="20" t="n">
        <x:v>34</x:v>
      </x:c>
      <x:c r="H45" t="str">
        <x:v>Pão de Açúcar</x:v>
      </x:c>
    </x:row>
    <x:row r="46">
      <x:c r="A46" s="18" t="n">
        <x:v>45444</x:v>
      </x:c>
      <x:c r="B46" t="n">
        <x:v>2024</x:v>
      </x:c>
      <x:c r="C46" t="n">
        <x:v>6</x:v>
      </x:c>
      <x:c r="D46" t="str">
        <x:v>Jun</x:v>
      </x:c>
      <x:c r="E46" t="str">
        <x:v>FR</x:v>
      </x:c>
      <x:c r="F46" t="str">
        <x:v>França</x:v>
      </x:c>
      <x:c r="G46" s="20" t="n">
        <x:v>57</x:v>
      </x:c>
      <x:c r="H46" t="str">
        <x:v>Pão de Açúcar</x:v>
      </x:c>
    </x:row>
    <x:row r="47">
      <x:c r="A47" s="18" t="n">
        <x:v>45444</x:v>
      </x:c>
      <x:c r="B47" t="n">
        <x:v>2024</x:v>
      </x:c>
      <x:c r="C47" t="n">
        <x:v>6</x:v>
      </x:c>
      <x:c r="D47" t="str">
        <x:v>Jun</x:v>
      </x:c>
      <x:c r="E47" t="str">
        <x:v>US</x:v>
      </x:c>
      <x:c r="F47" t="str">
        <x:v>Estados Unidos</x:v>
      </x:c>
      <x:c r="G47" s="20" t="n">
        <x:v>41</x:v>
      </x:c>
      <x:c r="H47" t="str">
        <x:v>Pão de Açúcar</x:v>
      </x:c>
    </x:row>
    <x:row r="48">
      <x:c r="A48" s="18" t="n">
        <x:v>45444</x:v>
      </x:c>
      <x:c r="B48" t="n">
        <x:v>2024</x:v>
      </x:c>
      <x:c r="C48" t="n">
        <x:v>6</x:v>
      </x:c>
      <x:c r="D48" t="str">
        <x:v>Jun</x:v>
      </x:c>
      <x:c r="E48" t="str">
        <x:v>UY</x:v>
      </x:c>
      <x:c r="F48" t="str">
        <x:v>Uruguai</x:v>
      </x:c>
      <x:c r="G48" s="20" t="n">
        <x:v>0</x:v>
      </x:c>
      <x:c r="H48" t="str">
        <x:v>Pão de Açúcar</x:v>
      </x:c>
    </x:row>
    <x:row r="49">
      <x:c r="A49" s="18" t="n">
        <x:v>45444</x:v>
      </x:c>
      <x:c r="B49" t="n">
        <x:v>2024</x:v>
      </x:c>
      <x:c r="C49" t="n">
        <x:v>6</x:v>
      </x:c>
      <x:c r="D49" t="str">
        <x:v>Jun</x:v>
      </x:c>
      <x:c r="E49" t="str">
        <x:v>WORLD</x:v>
      </x:c>
      <x:c r="F49" t="str">
        <x:v>Mundo</x:v>
      </x:c>
      <x:c r="G49" s="20" t="n">
        <x:v>55</x:v>
      </x:c>
      <x:c r="H49" t="str">
        <x:v>Pão de Açúcar</x:v>
      </x:c>
    </x:row>
    <x:row r="50">
      <x:c r="A50" s="18" t="n">
        <x:v>45474</x:v>
      </x:c>
      <x:c r="B50" t="n">
        <x:v>2024</x:v>
      </x:c>
      <x:c r="C50" t="n">
        <x:v>7</x:v>
      </x:c>
      <x:c r="D50" t="str">
        <x:v>Jul</x:v>
      </x:c>
      <x:c r="E50" t="str">
        <x:v>AR</x:v>
      </x:c>
      <x:c r="F50" t="str">
        <x:v>Argentina</x:v>
      </x:c>
      <x:c r="G50" s="20" t="n">
        <x:v>36</x:v>
      </x:c>
      <x:c r="H50" t="str">
        <x:v>Pão de Açúcar</x:v>
      </x:c>
    </x:row>
    <x:row r="51">
      <x:c r="A51" s="18" t="n">
        <x:v>45474</x:v>
      </x:c>
      <x:c r="B51" t="n">
        <x:v>2024</x:v>
      </x:c>
      <x:c r="C51" t="n">
        <x:v>7</x:v>
      </x:c>
      <x:c r="D51" t="str">
        <x:v>Jul</x:v>
      </x:c>
      <x:c r="E51" t="str">
        <x:v>BR</x:v>
      </x:c>
      <x:c r="F51" t="str">
        <x:v>Brasil</x:v>
      </x:c>
      <x:c r="G51" s="20" t="n">
        <x:v>67</x:v>
      </x:c>
      <x:c r="H51" t="str">
        <x:v>Pão de Açúcar</x:v>
      </x:c>
    </x:row>
    <x:row r="52">
      <x:c r="A52" s="18" t="n">
        <x:v>45474</x:v>
      </x:c>
      <x:c r="B52" t="n">
        <x:v>2024</x:v>
      </x:c>
      <x:c r="C52" t="n">
        <x:v>7</x:v>
      </x:c>
      <x:c r="D52" t="str">
        <x:v>Jul</x:v>
      </x:c>
      <x:c r="E52" t="str">
        <x:v>CL</x:v>
      </x:c>
      <x:c r="F52" t="str">
        <x:v>Chile</x:v>
      </x:c>
      <x:c r="G52" s="20" t="n">
        <x:v>37</x:v>
      </x:c>
      <x:c r="H52" t="str">
        <x:v>Pão de Açúcar</x:v>
      </x:c>
    </x:row>
    <x:row r="53">
      <x:c r="A53" s="18" t="n">
        <x:v>45474</x:v>
      </x:c>
      <x:c r="B53" t="n">
        <x:v>2024</x:v>
      </x:c>
      <x:c r="C53" t="n">
        <x:v>7</x:v>
      </x:c>
      <x:c r="D53" t="str">
        <x:v>Jul</x:v>
      </x:c>
      <x:c r="E53" t="str">
        <x:v>CO</x:v>
      </x:c>
      <x:c r="F53" t="str">
        <x:v>Colômbia</x:v>
      </x:c>
      <x:c r="G53" s="20" t="n">
        <x:v>41</x:v>
      </x:c>
      <x:c r="H53" t="str">
        <x:v>Pão de Açúcar</x:v>
      </x:c>
    </x:row>
    <x:row r="54">
      <x:c r="A54" s="18" t="n">
        <x:v>45474</x:v>
      </x:c>
      <x:c r="B54" t="n">
        <x:v>2024</x:v>
      </x:c>
      <x:c r="C54" t="n">
        <x:v>7</x:v>
      </x:c>
      <x:c r="D54" t="str">
        <x:v>Jul</x:v>
      </x:c>
      <x:c r="E54" t="str">
        <x:v>FR</x:v>
      </x:c>
      <x:c r="F54" t="str">
        <x:v>França</x:v>
      </x:c>
      <x:c r="G54" s="20" t="n">
        <x:v>60</x:v>
      </x:c>
      <x:c r="H54" t="str">
        <x:v>Pão de Açúcar</x:v>
      </x:c>
    </x:row>
    <x:row r="55">
      <x:c r="A55" s="18" t="n">
        <x:v>45474</x:v>
      </x:c>
      <x:c r="B55" t="n">
        <x:v>2024</x:v>
      </x:c>
      <x:c r="C55" t="n">
        <x:v>7</x:v>
      </x:c>
      <x:c r="D55" t="str">
        <x:v>Jul</x:v>
      </x:c>
      <x:c r="E55" t="str">
        <x:v>US</x:v>
      </x:c>
      <x:c r="F55" t="str">
        <x:v>Estados Unidos</x:v>
      </x:c>
      <x:c r="G55" s="20" t="n">
        <x:v>46</x:v>
      </x:c>
      <x:c r="H55" t="str">
        <x:v>Pão de Açúcar</x:v>
      </x:c>
    </x:row>
    <x:row r="56">
      <x:c r="A56" s="18" t="n">
        <x:v>45474</x:v>
      </x:c>
      <x:c r="B56" t="n">
        <x:v>2024</x:v>
      </x:c>
      <x:c r="C56" t="n">
        <x:v>7</x:v>
      </x:c>
      <x:c r="D56" t="str">
        <x:v>Jul</x:v>
      </x:c>
      <x:c r="E56" t="str">
        <x:v>UY</x:v>
      </x:c>
      <x:c r="F56" t="str">
        <x:v>Uruguai</x:v>
      </x:c>
      <x:c r="G56" s="20" t="n">
        <x:v>43</x:v>
      </x:c>
      <x:c r="H56" t="str">
        <x:v>Pão de Açúcar</x:v>
      </x:c>
    </x:row>
    <x:row r="57">
      <x:c r="A57" s="18" t="n">
        <x:v>45474</x:v>
      </x:c>
      <x:c r="B57" t="n">
        <x:v>2024</x:v>
      </x:c>
      <x:c r="C57" t="n">
        <x:v>7</x:v>
      </x:c>
      <x:c r="D57" t="str">
        <x:v>Jul</x:v>
      </x:c>
      <x:c r="E57" t="str">
        <x:v>WORLD</x:v>
      </x:c>
      <x:c r="F57" t="str">
        <x:v>Mundo</x:v>
      </x:c>
      <x:c r="G57" s="20" t="n">
        <x:v>63</x:v>
      </x:c>
      <x:c r="H57" t="str">
        <x:v>Pão de Açúcar</x:v>
      </x:c>
    </x:row>
    <x:row r="58">
      <x:c r="A58" s="18" t="n">
        <x:v>45505</x:v>
      </x:c>
      <x:c r="B58" t="n">
        <x:v>2024</x:v>
      </x:c>
      <x:c r="C58" t="n">
        <x:v>8</x:v>
      </x:c>
      <x:c r="D58" t="str">
        <x:v>Ago</x:v>
      </x:c>
      <x:c r="E58" t="str">
        <x:v>AR</x:v>
      </x:c>
      <x:c r="F58" t="str">
        <x:v>Argentina</x:v>
      </x:c>
      <x:c r="G58" s="20" t="n">
        <x:v>32</x:v>
      </x:c>
      <x:c r="H58" t="str">
        <x:v>Pão de Açúcar</x:v>
      </x:c>
    </x:row>
    <x:row r="59">
      <x:c r="A59" s="18" t="n">
        <x:v>45505</x:v>
      </x:c>
      <x:c r="B59" t="n">
        <x:v>2024</x:v>
      </x:c>
      <x:c r="C59" t="n">
        <x:v>8</x:v>
      </x:c>
      <x:c r="D59" t="str">
        <x:v>Ago</x:v>
      </x:c>
      <x:c r="E59" t="str">
        <x:v>BR</x:v>
      </x:c>
      <x:c r="F59" t="str">
        <x:v>Brasil</x:v>
      </x:c>
      <x:c r="G59" s="20" t="n">
        <x:v>77</x:v>
      </x:c>
      <x:c r="H59" t="str">
        <x:v>Pão de Açúcar</x:v>
      </x:c>
    </x:row>
    <x:row r="60">
      <x:c r="A60" s="18" t="n">
        <x:v>45505</x:v>
      </x:c>
      <x:c r="B60" t="n">
        <x:v>2024</x:v>
      </x:c>
      <x:c r="C60" t="n">
        <x:v>8</x:v>
      </x:c>
      <x:c r="D60" t="str">
        <x:v>Ago</x:v>
      </x:c>
      <x:c r="E60" t="str">
        <x:v>CL</x:v>
      </x:c>
      <x:c r="F60" t="str">
        <x:v>Chile</x:v>
      </x:c>
      <x:c r="G60" s="20" t="n">
        <x:v>40</x:v>
      </x:c>
      <x:c r="H60" t="str">
        <x:v>Pão de Açúcar</x:v>
      </x:c>
    </x:row>
    <x:row r="61">
      <x:c r="A61" s="18" t="n">
        <x:v>45505</x:v>
      </x:c>
      <x:c r="B61" t="n">
        <x:v>2024</x:v>
      </x:c>
      <x:c r="C61" t="n">
        <x:v>8</x:v>
      </x:c>
      <x:c r="D61" t="str">
        <x:v>Ago</x:v>
      </x:c>
      <x:c r="E61" t="str">
        <x:v>CO</x:v>
      </x:c>
      <x:c r="F61" t="str">
        <x:v>Colômbia</x:v>
      </x:c>
      <x:c r="G61" s="20" t="n">
        <x:v>34</x:v>
      </x:c>
      <x:c r="H61" t="str">
        <x:v>Pão de Açúcar</x:v>
      </x:c>
    </x:row>
    <x:row r="62">
      <x:c r="A62" s="18" t="n">
        <x:v>45505</x:v>
      </x:c>
      <x:c r="B62" t="n">
        <x:v>2024</x:v>
      </x:c>
      <x:c r="C62" t="n">
        <x:v>8</x:v>
      </x:c>
      <x:c r="D62" t="str">
        <x:v>Ago</x:v>
      </x:c>
      <x:c r="E62" t="str">
        <x:v>FR</x:v>
      </x:c>
      <x:c r="F62" t="str">
        <x:v>França</x:v>
      </x:c>
      <x:c r="G62" s="20" t="n">
        <x:v>79</x:v>
      </x:c>
      <x:c r="H62" t="str">
        <x:v>Pão de Açúcar</x:v>
      </x:c>
    </x:row>
    <x:row r="63">
      <x:c r="A63" s="18" t="n">
        <x:v>45505</x:v>
      </x:c>
      <x:c r="B63" t="n">
        <x:v>2024</x:v>
      </x:c>
      <x:c r="C63" t="n">
        <x:v>8</x:v>
      </x:c>
      <x:c r="D63" t="str">
        <x:v>Ago</x:v>
      </x:c>
      <x:c r="E63" t="str">
        <x:v>US</x:v>
      </x:c>
      <x:c r="F63" t="str">
        <x:v>Estados Unidos</x:v>
      </x:c>
      <x:c r="G63" s="20" t="n">
        <x:v>52</x:v>
      </x:c>
      <x:c r="H63" t="str">
        <x:v>Pão de Açúcar</x:v>
      </x:c>
    </x:row>
    <x:row r="64">
      <x:c r="A64" s="18" t="n">
        <x:v>45505</x:v>
      </x:c>
      <x:c r="B64" t="n">
        <x:v>2024</x:v>
      </x:c>
      <x:c r="C64" t="n">
        <x:v>8</x:v>
      </x:c>
      <x:c r="D64" t="str">
        <x:v>Ago</x:v>
      </x:c>
      <x:c r="E64" t="str">
        <x:v>UY</x:v>
      </x:c>
      <x:c r="F64" t="str">
        <x:v>Uruguai</x:v>
      </x:c>
      <x:c r="G64" s="20" t="n">
        <x:v>31</x:v>
      </x:c>
      <x:c r="H64" t="str">
        <x:v>Pão de Açúcar</x:v>
      </x:c>
    </x:row>
    <x:row r="65">
      <x:c r="A65" s="18" t="n">
        <x:v>45505</x:v>
      </x:c>
      <x:c r="B65" t="n">
        <x:v>2024</x:v>
      </x:c>
      <x:c r="C65" t="n">
        <x:v>8</x:v>
      </x:c>
      <x:c r="D65" t="str">
        <x:v>Ago</x:v>
      </x:c>
      <x:c r="E65" t="str">
        <x:v>WORLD</x:v>
      </x:c>
      <x:c r="F65" t="str">
        <x:v>Mundo</x:v>
      </x:c>
      <x:c r="G65" s="20" t="n">
        <x:v>66</x:v>
      </x:c>
      <x:c r="H65" t="str">
        <x:v>Pão de Açúcar</x:v>
      </x:c>
    </x:row>
    <x:row r="66">
      <x:c r="A66" s="18" t="n">
        <x:v>45536</x:v>
      </x:c>
      <x:c r="B66" t="n">
        <x:v>2024</x:v>
      </x:c>
      <x:c r="C66" t="n">
        <x:v>9</x:v>
      </x:c>
      <x:c r="D66" t="str">
        <x:v>Set</x:v>
      </x:c>
      <x:c r="E66" t="str">
        <x:v>AR</x:v>
      </x:c>
      <x:c r="F66" t="str">
        <x:v>Argentina</x:v>
      </x:c>
      <x:c r="G66" s="20" t="n">
        <x:v>33</x:v>
      </x:c>
      <x:c r="H66" t="str">
        <x:v>Pão de Açúcar</x:v>
      </x:c>
    </x:row>
    <x:row r="67">
      <x:c r="A67" s="18" t="n">
        <x:v>45536</x:v>
      </x:c>
      <x:c r="B67" t="n">
        <x:v>2024</x:v>
      </x:c>
      <x:c r="C67" t="n">
        <x:v>9</x:v>
      </x:c>
      <x:c r="D67" t="str">
        <x:v>Set</x:v>
      </x:c>
      <x:c r="E67" t="str">
        <x:v>BR</x:v>
      </x:c>
      <x:c r="F67" t="str">
        <x:v>Brasil</x:v>
      </x:c>
      <x:c r="G67" s="20" t="n">
        <x:v>80</x:v>
      </x:c>
      <x:c r="H67" t="str">
        <x:v>Pão de Açúcar</x:v>
      </x:c>
    </x:row>
    <x:row r="68">
      <x:c r="A68" s="18" t="n">
        <x:v>45536</x:v>
      </x:c>
      <x:c r="B68" t="n">
        <x:v>2024</x:v>
      </x:c>
      <x:c r="C68" t="n">
        <x:v>9</x:v>
      </x:c>
      <x:c r="D68" t="str">
        <x:v>Set</x:v>
      </x:c>
      <x:c r="E68" t="str">
        <x:v>CL</x:v>
      </x:c>
      <x:c r="F68" t="str">
        <x:v>Chile</x:v>
      </x:c>
      <x:c r="G68" s="20" t="n">
        <x:v>48</x:v>
      </x:c>
      <x:c r="H68" t="str">
        <x:v>Pão de Açúcar</x:v>
      </x:c>
    </x:row>
    <x:row r="69">
      <x:c r="A69" s="18" t="n">
        <x:v>45536</x:v>
      </x:c>
      <x:c r="B69" t="n">
        <x:v>2024</x:v>
      </x:c>
      <x:c r="C69" t="n">
        <x:v>9</x:v>
      </x:c>
      <x:c r="D69" t="str">
        <x:v>Set</x:v>
      </x:c>
      <x:c r="E69" t="str">
        <x:v>CO</x:v>
      </x:c>
      <x:c r="F69" t="str">
        <x:v>Colômbia</x:v>
      </x:c>
      <x:c r="G69" s="20" t="n">
        <x:v>37</x:v>
      </x:c>
      <x:c r="H69" t="str">
        <x:v>Pão de Açúcar</x:v>
      </x:c>
    </x:row>
    <x:row r="70">
      <x:c r="A70" s="18" t="n">
        <x:v>45536</x:v>
      </x:c>
      <x:c r="B70" t="n">
        <x:v>2024</x:v>
      </x:c>
      <x:c r="C70" t="n">
        <x:v>9</x:v>
      </x:c>
      <x:c r="D70" t="str">
        <x:v>Set</x:v>
      </x:c>
      <x:c r="E70" t="str">
        <x:v>FR</x:v>
      </x:c>
      <x:c r="F70" t="str">
        <x:v>França</x:v>
      </x:c>
      <x:c r="G70" s="20" t="n">
        <x:v>48</x:v>
      </x:c>
      <x:c r="H70" t="str">
        <x:v>Pão de Açúcar</x:v>
      </x:c>
    </x:row>
    <x:row r="71">
      <x:c r="A71" s="18" t="n">
        <x:v>45536</x:v>
      </x:c>
      <x:c r="B71" t="n">
        <x:v>2024</x:v>
      </x:c>
      <x:c r="C71" t="n">
        <x:v>9</x:v>
      </x:c>
      <x:c r="D71" t="str">
        <x:v>Set</x:v>
      </x:c>
      <x:c r="E71" t="str">
        <x:v>US</x:v>
      </x:c>
      <x:c r="F71" t="str">
        <x:v>Estados Unidos</x:v>
      </x:c>
      <x:c r="G71" s="20" t="n">
        <x:v>45</x:v>
      </x:c>
      <x:c r="H71" t="str">
        <x:v>Pão de Açúcar</x:v>
      </x:c>
    </x:row>
    <x:row r="72">
      <x:c r="A72" s="18" t="n">
        <x:v>45536</x:v>
      </x:c>
      <x:c r="B72" t="n">
        <x:v>2024</x:v>
      </x:c>
      <x:c r="C72" t="n">
        <x:v>9</x:v>
      </x:c>
      <x:c r="D72" t="str">
        <x:v>Set</x:v>
      </x:c>
      <x:c r="E72" t="str">
        <x:v>UY</x:v>
      </x:c>
      <x:c r="F72" t="str">
        <x:v>Uruguai</x:v>
      </x:c>
      <x:c r="G72" s="20" t="n">
        <x:v>37</x:v>
      </x:c>
      <x:c r="H72" t="str">
        <x:v>Pão de Açúcar</x:v>
      </x:c>
    </x:row>
    <x:row r="73">
      <x:c r="A73" s="18" t="n">
        <x:v>45536</x:v>
      </x:c>
      <x:c r="B73" t="n">
        <x:v>2024</x:v>
      </x:c>
      <x:c r="C73" t="n">
        <x:v>9</x:v>
      </x:c>
      <x:c r="D73" t="str">
        <x:v>Set</x:v>
      </x:c>
      <x:c r="E73" t="str">
        <x:v>WORLD</x:v>
      </x:c>
      <x:c r="F73" t="str">
        <x:v>Mundo</x:v>
      </x:c>
      <x:c r="G73" s="20" t="n">
        <x:v>65</x:v>
      </x:c>
      <x:c r="H73" t="str">
        <x:v>Pão de Açúcar</x:v>
      </x:c>
    </x:row>
    <x:row r="74">
      <x:c r="A74" s="18" t="n">
        <x:v>45566</x:v>
      </x:c>
      <x:c r="B74" t="n">
        <x:v>2024</x:v>
      </x:c>
      <x:c r="C74" t="n">
        <x:v>10</x:v>
      </x:c>
      <x:c r="D74" t="str">
        <x:v>Out</x:v>
      </x:c>
      <x:c r="E74" t="str">
        <x:v>AR</x:v>
      </x:c>
      <x:c r="F74" t="str">
        <x:v>Argentina</x:v>
      </x:c>
      <x:c r="G74" s="20" t="n">
        <x:v>38</x:v>
      </x:c>
      <x:c r="H74" t="str">
        <x:v>Pão de Açúcar</x:v>
      </x:c>
    </x:row>
    <x:row r="75">
      <x:c r="A75" s="18" t="n">
        <x:v>45566</x:v>
      </x:c>
      <x:c r="B75" t="n">
        <x:v>2024</x:v>
      </x:c>
      <x:c r="C75" t="n">
        <x:v>10</x:v>
      </x:c>
      <x:c r="D75" t="str">
        <x:v>Out</x:v>
      </x:c>
      <x:c r="E75" t="str">
        <x:v>BR</x:v>
      </x:c>
      <x:c r="F75" t="str">
        <x:v>Brasil</x:v>
      </x:c>
      <x:c r="G75" s="20" t="n">
        <x:v>73</x:v>
      </x:c>
      <x:c r="H75" t="str">
        <x:v>Pão de Açúcar</x:v>
      </x:c>
    </x:row>
    <x:row r="76">
      <x:c r="A76" s="18" t="n">
        <x:v>45566</x:v>
      </x:c>
      <x:c r="B76" t="n">
        <x:v>2024</x:v>
      </x:c>
      <x:c r="C76" t="n">
        <x:v>10</x:v>
      </x:c>
      <x:c r="D76" t="str">
        <x:v>Out</x:v>
      </x:c>
      <x:c r="E76" t="str">
        <x:v>CL</x:v>
      </x:c>
      <x:c r="F76" t="str">
        <x:v>Chile</x:v>
      </x:c>
      <x:c r="G76" s="20" t="n">
        <x:v>49</x:v>
      </x:c>
      <x:c r="H76" t="str">
        <x:v>Pão de Açúcar</x:v>
      </x:c>
    </x:row>
    <x:row r="77">
      <x:c r="A77" s="18" t="n">
        <x:v>45566</x:v>
      </x:c>
      <x:c r="B77" t="n">
        <x:v>2024</x:v>
      </x:c>
      <x:c r="C77" t="n">
        <x:v>10</x:v>
      </x:c>
      <x:c r="D77" t="str">
        <x:v>Out</x:v>
      </x:c>
      <x:c r="E77" t="str">
        <x:v>CO</x:v>
      </x:c>
      <x:c r="F77" t="str">
        <x:v>Colômbia</x:v>
      </x:c>
      <x:c r="G77" s="20" t="n">
        <x:v>33</x:v>
      </x:c>
      <x:c r="H77" t="str">
        <x:v>Pão de Açúcar</x:v>
      </x:c>
    </x:row>
    <x:row r="78">
      <x:c r="A78" s="18" t="n">
        <x:v>45566</x:v>
      </x:c>
      <x:c r="B78" t="n">
        <x:v>2024</x:v>
      </x:c>
      <x:c r="C78" t="n">
        <x:v>10</x:v>
      </x:c>
      <x:c r="D78" t="str">
        <x:v>Out</x:v>
      </x:c>
      <x:c r="E78" t="str">
        <x:v>FR</x:v>
      </x:c>
      <x:c r="F78" t="str">
        <x:v>França</x:v>
      </x:c>
      <x:c r="G78" s="20" t="n">
        <x:v>28</x:v>
      </x:c>
      <x:c r="H78" t="str">
        <x:v>Pão de Açúcar</x:v>
      </x:c>
    </x:row>
    <x:row r="79">
      <x:c r="A79" s="18" t="n">
        <x:v>45566</x:v>
      </x:c>
      <x:c r="B79" t="n">
        <x:v>2024</x:v>
      </x:c>
      <x:c r="C79" t="n">
        <x:v>10</x:v>
      </x:c>
      <x:c r="D79" t="str">
        <x:v>Out</x:v>
      </x:c>
      <x:c r="E79" t="str">
        <x:v>US</x:v>
      </x:c>
      <x:c r="F79" t="str">
        <x:v>Estados Unidos</x:v>
      </x:c>
      <x:c r="G79" s="20" t="n">
        <x:v>43</x:v>
      </x:c>
      <x:c r="H79" t="str">
        <x:v>Pão de Açúcar</x:v>
      </x:c>
    </x:row>
    <x:row r="80">
      <x:c r="A80" s="18" t="n">
        <x:v>45566</x:v>
      </x:c>
      <x:c r="B80" t="n">
        <x:v>2024</x:v>
      </x:c>
      <x:c r="C80" t="n">
        <x:v>10</x:v>
      </x:c>
      <x:c r="D80" t="str">
        <x:v>Out</x:v>
      </x:c>
      <x:c r="E80" t="str">
        <x:v>UY</x:v>
      </x:c>
      <x:c r="F80" t="str">
        <x:v>Uruguai</x:v>
      </x:c>
      <x:c r="G80" s="20" t="n">
        <x:v>0</x:v>
      </x:c>
      <x:c r="H80" t="str">
        <x:v>Pão de Açúcar</x:v>
      </x:c>
    </x:row>
    <x:row r="81">
      <x:c r="A81" s="18" t="n">
        <x:v>45566</x:v>
      </x:c>
      <x:c r="B81" t="n">
        <x:v>2024</x:v>
      </x:c>
      <x:c r="C81" t="n">
        <x:v>10</x:v>
      </x:c>
      <x:c r="D81" t="str">
        <x:v>Out</x:v>
      </x:c>
      <x:c r="E81" t="str">
        <x:v>WORLD</x:v>
      </x:c>
      <x:c r="F81" t="str">
        <x:v>Mundo</x:v>
      </x:c>
      <x:c r="G81" s="20" t="n">
        <x:v>65</x:v>
      </x:c>
      <x:c r="H81" t="str">
        <x:v>Pão de Açúcar</x:v>
      </x:c>
    </x:row>
    <x:row r="82">
      <x:c r="A82" s="18" t="n">
        <x:v>45597</x:v>
      </x:c>
      <x:c r="B82" t="n">
        <x:v>2024</x:v>
      </x:c>
      <x:c r="C82" t="n">
        <x:v>11</x:v>
      </x:c>
      <x:c r="D82" t="str">
        <x:v>Nov</x:v>
      </x:c>
      <x:c r="E82" t="str">
        <x:v>AR</x:v>
      </x:c>
      <x:c r="F82" t="str">
        <x:v>Argentina</x:v>
      </x:c>
      <x:c r="G82" s="20" t="n">
        <x:v>44</x:v>
      </x:c>
      <x:c r="H82" t="str">
        <x:v>Pão de Açúcar</x:v>
      </x:c>
    </x:row>
    <x:row r="83">
      <x:c r="A83" s="18" t="n">
        <x:v>45597</x:v>
      </x:c>
      <x:c r="B83" t="n">
        <x:v>2024</x:v>
      </x:c>
      <x:c r="C83" t="n">
        <x:v>11</x:v>
      </x:c>
      <x:c r="D83" t="str">
        <x:v>Nov</x:v>
      </x:c>
      <x:c r="E83" t="str">
        <x:v>BR</x:v>
      </x:c>
      <x:c r="F83" t="str">
        <x:v>Brasil</x:v>
      </x:c>
      <x:c r="G83" s="20" t="n">
        <x:v>72</x:v>
      </x:c>
      <x:c r="H83" t="str">
        <x:v>Pão de Açúcar</x:v>
      </x:c>
    </x:row>
    <x:row r="84">
      <x:c r="A84" s="18" t="n">
        <x:v>45597</x:v>
      </x:c>
      <x:c r="B84" t="n">
        <x:v>2024</x:v>
      </x:c>
      <x:c r="C84" t="n">
        <x:v>11</x:v>
      </x:c>
      <x:c r="D84" t="str">
        <x:v>Nov</x:v>
      </x:c>
      <x:c r="E84" t="str">
        <x:v>CL</x:v>
      </x:c>
      <x:c r="F84" t="str">
        <x:v>Chile</x:v>
      </x:c>
      <x:c r="G84" s="20" t="n">
        <x:v>44</x:v>
      </x:c>
      <x:c r="H84" t="str">
        <x:v>Pão de Açúcar</x:v>
      </x:c>
    </x:row>
    <x:row r="85">
      <x:c r="A85" s="18" t="n">
        <x:v>45597</x:v>
      </x:c>
      <x:c r="B85" t="n">
        <x:v>2024</x:v>
      </x:c>
      <x:c r="C85" t="n">
        <x:v>11</x:v>
      </x:c>
      <x:c r="D85" t="str">
        <x:v>Nov</x:v>
      </x:c>
      <x:c r="E85" t="str">
        <x:v>CO</x:v>
      </x:c>
      <x:c r="F85" t="str">
        <x:v>Colômbia</x:v>
      </x:c>
      <x:c r="G85" s="20" t="n">
        <x:v>31</x:v>
      </x:c>
      <x:c r="H85" t="str">
        <x:v>Pão de Açúcar</x:v>
      </x:c>
    </x:row>
    <x:row r="86">
      <x:c r="A86" s="18" t="n">
        <x:v>45597</x:v>
      </x:c>
      <x:c r="B86" t="n">
        <x:v>2024</x:v>
      </x:c>
      <x:c r="C86" t="n">
        <x:v>11</x:v>
      </x:c>
      <x:c r="D86" t="str">
        <x:v>Nov</x:v>
      </x:c>
      <x:c r="E86" t="str">
        <x:v>FR</x:v>
      </x:c>
      <x:c r="F86" t="str">
        <x:v>França</x:v>
      </x:c>
      <x:c r="G86" s="20" t="n">
        <x:v>39</x:v>
      </x:c>
      <x:c r="H86" t="str">
        <x:v>Pão de Açúcar</x:v>
      </x:c>
    </x:row>
    <x:row r="87">
      <x:c r="A87" s="18" t="n">
        <x:v>45597</x:v>
      </x:c>
      <x:c r="B87" t="n">
        <x:v>2024</x:v>
      </x:c>
      <x:c r="C87" t="n">
        <x:v>11</x:v>
      </x:c>
      <x:c r="D87" t="str">
        <x:v>Nov</x:v>
      </x:c>
      <x:c r="E87" t="str">
        <x:v>US</x:v>
      </x:c>
      <x:c r="F87" t="str">
        <x:v>Estados Unidos</x:v>
      </x:c>
      <x:c r="G87" s="20" t="n">
        <x:v>62</x:v>
      </x:c>
      <x:c r="H87" t="str">
        <x:v>Pão de Açúcar</x:v>
      </x:c>
    </x:row>
    <x:row r="88">
      <x:c r="A88" s="18" t="n">
        <x:v>45597</x:v>
      </x:c>
      <x:c r="B88" t="n">
        <x:v>2024</x:v>
      </x:c>
      <x:c r="C88" t="n">
        <x:v>11</x:v>
      </x:c>
      <x:c r="D88" t="str">
        <x:v>Nov</x:v>
      </x:c>
      <x:c r="E88" t="str">
        <x:v>UY</x:v>
      </x:c>
      <x:c r="F88" t="str">
        <x:v>Uruguai</x:v>
      </x:c>
      <x:c r="G88" s="20" t="n">
        <x:v>0</x:v>
      </x:c>
      <x:c r="H88" t="str">
        <x:v>Pão de Açúcar</x:v>
      </x:c>
    </x:row>
    <x:row r="89">
      <x:c r="A89" s="18" t="n">
        <x:v>45597</x:v>
      </x:c>
      <x:c r="B89" t="n">
        <x:v>2024</x:v>
      </x:c>
      <x:c r="C89" t="n">
        <x:v>11</x:v>
      </x:c>
      <x:c r="D89" t="str">
        <x:v>Nov</x:v>
      </x:c>
      <x:c r="E89" t="str">
        <x:v>WORLD</x:v>
      </x:c>
      <x:c r="F89" t="str">
        <x:v>Mundo</x:v>
      </x:c>
      <x:c r="G89" s="20" t="n">
        <x:v>65</x:v>
      </x:c>
      <x:c r="H89" t="str">
        <x:v>Pão de Açúcar</x:v>
      </x:c>
    </x:row>
    <x:row r="90">
      <x:c r="A90" s="18" t="n">
        <x:v>45627</x:v>
      </x:c>
      <x:c r="B90" t="n">
        <x:v>2024</x:v>
      </x:c>
      <x:c r="C90" t="n">
        <x:v>12</x:v>
      </x:c>
      <x:c r="D90" t="str">
        <x:v>Dez</x:v>
      </x:c>
      <x:c r="E90" t="str">
        <x:v>AR</x:v>
      </x:c>
      <x:c r="F90" t="str">
        <x:v>Argentina</x:v>
      </x:c>
      <x:c r="G90" s="20" t="n">
        <x:v>61</x:v>
      </x:c>
      <x:c r="H90" t="str">
        <x:v>Pão de Açúcar</x:v>
      </x:c>
    </x:row>
    <x:row r="91">
      <x:c r="A91" s="18" t="n">
        <x:v>45627</x:v>
      </x:c>
      <x:c r="B91" t="n">
        <x:v>2024</x:v>
      </x:c>
      <x:c r="C91" t="n">
        <x:v>12</x:v>
      </x:c>
      <x:c r="D91" t="str">
        <x:v>Dez</x:v>
      </x:c>
      <x:c r="E91" t="str">
        <x:v>BR</x:v>
      </x:c>
      <x:c r="F91" t="str">
        <x:v>Brasil</x:v>
      </x:c>
      <x:c r="G91" s="20" t="n">
        <x:v>71</x:v>
      </x:c>
      <x:c r="H91" t="str">
        <x:v>Pão de Açúcar</x:v>
      </x:c>
    </x:row>
    <x:row r="92">
      <x:c r="A92" s="18" t="n">
        <x:v>45627</x:v>
      </x:c>
      <x:c r="B92" t="n">
        <x:v>2024</x:v>
      </x:c>
      <x:c r="C92" t="n">
        <x:v>12</x:v>
      </x:c>
      <x:c r="D92" t="str">
        <x:v>Dez</x:v>
      </x:c>
      <x:c r="E92" t="str">
        <x:v>CL</x:v>
      </x:c>
      <x:c r="F92" t="str">
        <x:v>Chile</x:v>
      </x:c>
      <x:c r="G92" s="20" t="n">
        <x:v>50</x:v>
      </x:c>
      <x:c r="H92" t="str">
        <x:v>Pão de Açúcar</x:v>
      </x:c>
    </x:row>
    <x:row r="93">
      <x:c r="A93" s="18" t="n">
        <x:v>45627</x:v>
      </x:c>
      <x:c r="B93" t="n">
        <x:v>2024</x:v>
      </x:c>
      <x:c r="C93" t="n">
        <x:v>12</x:v>
      </x:c>
      <x:c r="D93" t="str">
        <x:v>Dez</x:v>
      </x:c>
      <x:c r="E93" t="str">
        <x:v>CO</x:v>
      </x:c>
      <x:c r="F93" t="str">
        <x:v>Colômbia</x:v>
      </x:c>
      <x:c r="G93" s="20" t="n">
        <x:v>34</x:v>
      </x:c>
      <x:c r="H93" t="str">
        <x:v>Pão de Açúcar</x:v>
      </x:c>
    </x:row>
    <x:row r="94">
      <x:c r="A94" s="18" t="n">
        <x:v>45627</x:v>
      </x:c>
      <x:c r="B94" t="n">
        <x:v>2024</x:v>
      </x:c>
      <x:c r="C94" t="n">
        <x:v>12</x:v>
      </x:c>
      <x:c r="D94" t="str">
        <x:v>Dez</x:v>
      </x:c>
      <x:c r="E94" t="str">
        <x:v>FR</x:v>
      </x:c>
      <x:c r="F94" t="str">
        <x:v>França</x:v>
      </x:c>
      <x:c r="G94" s="20" t="n">
        <x:v>53</x:v>
      </x:c>
      <x:c r="H94" t="str">
        <x:v>Pão de Açúcar</x:v>
      </x:c>
    </x:row>
    <x:row r="95">
      <x:c r="A95" s="18" t="n">
        <x:v>45627</x:v>
      </x:c>
      <x:c r="B95" t="n">
        <x:v>2024</x:v>
      </x:c>
      <x:c r="C95" t="n">
        <x:v>12</x:v>
      </x:c>
      <x:c r="D95" t="str">
        <x:v>Dez</x:v>
      </x:c>
      <x:c r="E95" t="str">
        <x:v>US</x:v>
      </x:c>
      <x:c r="F95" t="str">
        <x:v>Estados Unidos</x:v>
      </x:c>
      <x:c r="G95" s="20" t="n">
        <x:v>57</x:v>
      </x:c>
      <x:c r="H95" t="str">
        <x:v>Pão de Açúcar</x:v>
      </x:c>
    </x:row>
    <x:row r="96">
      <x:c r="A96" s="18" t="n">
        <x:v>45627</x:v>
      </x:c>
      <x:c r="B96" t="n">
        <x:v>2024</x:v>
      </x:c>
      <x:c r="C96" t="n">
        <x:v>12</x:v>
      </x:c>
      <x:c r="D96" t="str">
        <x:v>Dez</x:v>
      </x:c>
      <x:c r="E96" t="str">
        <x:v>UY</x:v>
      </x:c>
      <x:c r="F96" t="str">
        <x:v>Uruguai</x:v>
      </x:c>
      <x:c r="G96" s="20" t="n">
        <x:v>40</x:v>
      </x:c>
      <x:c r="H96" t="str">
        <x:v>Pão de Açúcar</x:v>
      </x:c>
    </x:row>
    <x:row r="97">
      <x:c r="A97" s="18" t="n">
        <x:v>45627</x:v>
      </x:c>
      <x:c r="B97" t="n">
        <x:v>2024</x:v>
      </x:c>
      <x:c r="C97" t="n">
        <x:v>12</x:v>
      </x:c>
      <x:c r="D97" t="str">
        <x:v>Dez</x:v>
      </x:c>
      <x:c r="E97" t="str">
        <x:v>WORLD</x:v>
      </x:c>
      <x:c r="F97" t="str">
        <x:v>Mundo</x:v>
      </x:c>
      <x:c r="G97" s="20" t="n">
        <x:v>63</x:v>
      </x:c>
      <x:c r="H97" t="str">
        <x:v>Pão de Açúcar</x:v>
      </x:c>
    </x:row>
    <x:row r="98">
      <x:c r="A98" s="18" t="n">
        <x:v>45658</x:v>
      </x:c>
      <x:c r="B98" t="n">
        <x:v>2025</x:v>
      </x:c>
      <x:c r="C98" t="n">
        <x:v>1</x:v>
      </x:c>
      <x:c r="D98" t="str">
        <x:v>Jan</x:v>
      </x:c>
      <x:c r="E98" t="str">
        <x:v>AR</x:v>
      </x:c>
      <x:c r="F98" t="str">
        <x:v>Argentina</x:v>
      </x:c>
      <x:c r="G98" s="20" t="n">
        <x:v>97</x:v>
      </x:c>
      <x:c r="H98" t="str">
        <x:v>Pão de Açúcar</x:v>
      </x:c>
    </x:row>
    <x:row r="99">
      <x:c r="A99" s="18" t="n">
        <x:v>45658</x:v>
      </x:c>
      <x:c r="B99" t="n">
        <x:v>2025</x:v>
      </x:c>
      <x:c r="C99" t="n">
        <x:v>1</x:v>
      </x:c>
      <x:c r="D99" t="str">
        <x:v>Jan</x:v>
      </x:c>
      <x:c r="E99" t="str">
        <x:v>BR</x:v>
      </x:c>
      <x:c r="F99" t="str">
        <x:v>Brasil</x:v>
      </x:c>
      <x:c r="G99" s="20" t="n">
        <x:v>86</x:v>
      </x:c>
      <x:c r="H99" t="str">
        <x:v>Pão de Açúcar</x:v>
      </x:c>
    </x:row>
    <x:row r="100">
      <x:c r="A100" s="18" t="n">
        <x:v>45658</x:v>
      </x:c>
      <x:c r="B100" t="n">
        <x:v>2025</x:v>
      </x:c>
      <x:c r="C100" t="n">
        <x:v>1</x:v>
      </x:c>
      <x:c r="D100" t="str">
        <x:v>Jan</x:v>
      </x:c>
      <x:c r="E100" t="str">
        <x:v>CL</x:v>
      </x:c>
      <x:c r="F100" t="str">
        <x:v>Chile</x:v>
      </x:c>
      <x:c r="G100" s="20" t="n">
        <x:v>88</x:v>
      </x:c>
      <x:c r="H100" t="str">
        <x:v>Pão de Açúcar</x:v>
      </x:c>
    </x:row>
    <x:row r="101">
      <x:c r="A101" s="18" t="n">
        <x:v>45658</x:v>
      </x:c>
      <x:c r="B101" t="n">
        <x:v>2025</x:v>
      </x:c>
      <x:c r="C101" t="n">
        <x:v>1</x:v>
      </x:c>
      <x:c r="D101" t="str">
        <x:v>Jan</x:v>
      </x:c>
      <x:c r="E101" t="str">
        <x:v>CO</x:v>
      </x:c>
      <x:c r="F101" t="str">
        <x:v>Colômbia</x:v>
      </x:c>
      <x:c r="G101" s="20" t="n">
        <x:v>54</x:v>
      </x:c>
      <x:c r="H101" t="str">
        <x:v>Pão de Açúcar</x:v>
      </x:c>
    </x:row>
    <x:row r="102">
      <x:c r="A102" s="18" t="n">
        <x:v>45658</x:v>
      </x:c>
      <x:c r="B102" t="n">
        <x:v>2025</x:v>
      </x:c>
      <x:c r="C102" t="n">
        <x:v>1</x:v>
      </x:c>
      <x:c r="D102" t="str">
        <x:v>Jan</x:v>
      </x:c>
      <x:c r="E102" t="str">
        <x:v>FR</x:v>
      </x:c>
      <x:c r="F102" t="str">
        <x:v>França</x:v>
      </x:c>
      <x:c r="G102" s="20" t="n">
        <x:v>55</x:v>
      </x:c>
      <x:c r="H102" t="str">
        <x:v>Pão de Açúcar</x:v>
      </x:c>
    </x:row>
    <x:row r="103">
      <x:c r="A103" s="18" t="n">
        <x:v>45658</x:v>
      </x:c>
      <x:c r="B103" t="n">
        <x:v>2025</x:v>
      </x:c>
      <x:c r="C103" t="n">
        <x:v>1</x:v>
      </x:c>
      <x:c r="D103" t="str">
        <x:v>Jan</x:v>
      </x:c>
      <x:c r="E103" t="str">
        <x:v>US</x:v>
      </x:c>
      <x:c r="F103" t="str">
        <x:v>Estados Unidos</x:v>
      </x:c>
      <x:c r="G103" s="20" t="n">
        <x:v>60</x:v>
      </x:c>
      <x:c r="H103" t="str">
        <x:v>Pão de Açúcar</x:v>
      </x:c>
    </x:row>
    <x:row r="104">
      <x:c r="A104" s="18" t="n">
        <x:v>45658</x:v>
      </x:c>
      <x:c r="B104" t="n">
        <x:v>2025</x:v>
      </x:c>
      <x:c r="C104" t="n">
        <x:v>1</x:v>
      </x:c>
      <x:c r="D104" t="str">
        <x:v>Jan</x:v>
      </x:c>
      <x:c r="E104" t="str">
        <x:v>UY</x:v>
      </x:c>
      <x:c r="F104" t="str">
        <x:v>Uruguai</x:v>
      </x:c>
      <x:c r="G104" s="20" t="n">
        <x:v>62</x:v>
      </x:c>
      <x:c r="H104" t="str">
        <x:v>Pão de Açúcar</x:v>
      </x:c>
    </x:row>
    <x:row r="105">
      <x:c r="A105" s="18" t="n">
        <x:v>45658</x:v>
      </x:c>
      <x:c r="B105" t="n">
        <x:v>2025</x:v>
      </x:c>
      <x:c r="C105" t="n">
        <x:v>1</x:v>
      </x:c>
      <x:c r="D105" t="str">
        <x:v>Jan</x:v>
      </x:c>
      <x:c r="E105" t="str">
        <x:v>WORLD</x:v>
      </x:c>
      <x:c r="F105" t="str">
        <x:v>Mundo</x:v>
      </x:c>
      <x:c r="G105" s="20" t="n">
        <x:v>84</x:v>
      </x:c>
      <x:c r="H105" t="str">
        <x:v>Pão de Açúcar</x:v>
      </x:c>
    </x:row>
    <x:row r="106">
      <x:c r="A106" s="18" t="n">
        <x:v>45689</x:v>
      </x:c>
      <x:c r="B106" t="n">
        <x:v>2025</x:v>
      </x:c>
      <x:c r="C106" t="n">
        <x:v>2</x:v>
      </x:c>
      <x:c r="D106" t="str">
        <x:v>Fev</x:v>
      </x:c>
      <x:c r="E106" t="str">
        <x:v>AR</x:v>
      </x:c>
      <x:c r="F106" t="str">
        <x:v>Argentina</x:v>
      </x:c>
      <x:c r="G106" s="20" t="n">
        <x:v>65</x:v>
      </x:c>
      <x:c r="H106" t="str">
        <x:v>Pão de Açúcar</x:v>
      </x:c>
    </x:row>
    <x:row r="107">
      <x:c r="A107" s="18" t="n">
        <x:v>45689</x:v>
      </x:c>
      <x:c r="B107" t="n">
        <x:v>2025</x:v>
      </x:c>
      <x:c r="C107" t="n">
        <x:v>2</x:v>
      </x:c>
      <x:c r="D107" t="str">
        <x:v>Fev</x:v>
      </x:c>
      <x:c r="E107" t="str">
        <x:v>BR</x:v>
      </x:c>
      <x:c r="F107" t="str">
        <x:v>Brasil</x:v>
      </x:c>
      <x:c r="G107" s="20" t="n">
        <x:v>82</x:v>
      </x:c>
      <x:c r="H107" t="str">
        <x:v>Pão de Açúcar</x:v>
      </x:c>
    </x:row>
    <x:row r="108">
      <x:c r="A108" s="18" t="n">
        <x:v>45689</x:v>
      </x:c>
      <x:c r="B108" t="n">
        <x:v>2025</x:v>
      </x:c>
      <x:c r="C108" t="n">
        <x:v>2</x:v>
      </x:c>
      <x:c r="D108" t="str">
        <x:v>Fev</x:v>
      </x:c>
      <x:c r="E108" t="str">
        <x:v>CL</x:v>
      </x:c>
      <x:c r="F108" t="str">
        <x:v>Chile</x:v>
      </x:c>
      <x:c r="G108" s="20" t="n">
        <x:v>100</x:v>
      </x:c>
      <x:c r="H108" t="str">
        <x:v>Pão de Açúcar</x:v>
      </x:c>
    </x:row>
    <x:row r="109">
      <x:c r="A109" s="18" t="n">
        <x:v>45689</x:v>
      </x:c>
      <x:c r="B109" t="n">
        <x:v>2025</x:v>
      </x:c>
      <x:c r="C109" t="n">
        <x:v>2</x:v>
      </x:c>
      <x:c r="D109" t="str">
        <x:v>Fev</x:v>
      </x:c>
      <x:c r="E109" t="str">
        <x:v>CO</x:v>
      </x:c>
      <x:c r="F109" t="str">
        <x:v>Colômbia</x:v>
      </x:c>
      <x:c r="G109" s="20" t="n">
        <x:v>72</x:v>
      </x:c>
      <x:c r="H109" t="str">
        <x:v>Pão de Açúcar</x:v>
      </x:c>
    </x:row>
    <x:row r="110">
      <x:c r="A110" s="18" t="n">
        <x:v>45689</x:v>
      </x:c>
      <x:c r="B110" t="n">
        <x:v>2025</x:v>
      </x:c>
      <x:c r="C110" t="n">
        <x:v>2</x:v>
      </x:c>
      <x:c r="D110" t="str">
        <x:v>Fev</x:v>
      </x:c>
      <x:c r="E110" t="str">
        <x:v>FR</x:v>
      </x:c>
      <x:c r="F110" t="str">
        <x:v>França</x:v>
      </x:c>
      <x:c r="G110" s="20" t="n">
        <x:v>68</x:v>
      </x:c>
      <x:c r="H110" t="str">
        <x:v>Pão de Açúcar</x:v>
      </x:c>
    </x:row>
    <x:row r="111">
      <x:c r="A111" s="18" t="n">
        <x:v>45689</x:v>
      </x:c>
      <x:c r="B111" t="n">
        <x:v>2025</x:v>
      </x:c>
      <x:c r="C111" t="n">
        <x:v>2</x:v>
      </x:c>
      <x:c r="D111" t="str">
        <x:v>Fev</x:v>
      </x:c>
      <x:c r="E111" t="str">
        <x:v>US</x:v>
      </x:c>
      <x:c r="F111" t="str">
        <x:v>Estados Unidos</x:v>
      </x:c>
      <x:c r="G111" s="20" t="n">
        <x:v>66</x:v>
      </x:c>
      <x:c r="H111" t="str">
        <x:v>Pão de Açúcar</x:v>
      </x:c>
    </x:row>
    <x:row r="112">
      <x:c r="A112" s="18" t="n">
        <x:v>45689</x:v>
      </x:c>
      <x:c r="B112" t="n">
        <x:v>2025</x:v>
      </x:c>
      <x:c r="C112" t="n">
        <x:v>2</x:v>
      </x:c>
      <x:c r="D112" t="str">
        <x:v>Fev</x:v>
      </x:c>
      <x:c r="E112" t="str">
        <x:v>UY</x:v>
      </x:c>
      <x:c r="F112" t="str">
        <x:v>Uruguai</x:v>
      </x:c>
      <x:c r="G112" s="20" t="n">
        <x:v>80</x:v>
      </x:c>
      <x:c r="H112" t="str">
        <x:v>Pão de Açúcar</x:v>
      </x:c>
    </x:row>
    <x:row r="113">
      <x:c r="A113" s="18" t="n">
        <x:v>45689</x:v>
      </x:c>
      <x:c r="B113" t="n">
        <x:v>2025</x:v>
      </x:c>
      <x:c r="C113" t="n">
        <x:v>2</x:v>
      </x:c>
      <x:c r="D113" t="str">
        <x:v>Fev</x:v>
      </x:c>
      <x:c r="E113" t="str">
        <x:v>WORLD</x:v>
      </x:c>
      <x:c r="F113" t="str">
        <x:v>Mundo</x:v>
      </x:c>
      <x:c r="G113" s="20" t="n">
        <x:v>77</x:v>
      </x:c>
      <x:c r="H113" t="str">
        <x:v>Pão de Açúcar</x:v>
      </x:c>
    </x:row>
    <x:row r="114">
      <x:c r="A114" s="18" t="n">
        <x:v>45717</x:v>
      </x:c>
      <x:c r="B114" t="n">
        <x:v>2025</x:v>
      </x:c>
      <x:c r="C114" t="n">
        <x:v>3</x:v>
      </x:c>
      <x:c r="D114" t="str">
        <x:v>Mar</x:v>
      </x:c>
      <x:c r="E114" t="str">
        <x:v>AR</x:v>
      </x:c>
      <x:c r="F114" t="str">
        <x:v>Argentina</x:v>
      </x:c>
      <x:c r="G114" s="20" t="n">
        <x:v>55</x:v>
      </x:c>
      <x:c r="H114" t="str">
        <x:v>Pão de Açúcar</x:v>
      </x:c>
    </x:row>
    <x:row r="115">
      <x:c r="A115" s="18" t="n">
        <x:v>45717</x:v>
      </x:c>
      <x:c r="B115" t="n">
        <x:v>2025</x:v>
      </x:c>
      <x:c r="C115" t="n">
        <x:v>3</x:v>
      </x:c>
      <x:c r="D115" t="str">
        <x:v>Mar</x:v>
      </x:c>
      <x:c r="E115" t="str">
        <x:v>BR</x:v>
      </x:c>
      <x:c r="F115" t="str">
        <x:v>Brasil</x:v>
      </x:c>
      <x:c r="G115" s="20" t="n">
        <x:v>86</x:v>
      </x:c>
      <x:c r="H115" t="str">
        <x:v>Pão de Açúcar</x:v>
      </x:c>
    </x:row>
    <x:row r="116">
      <x:c r="A116" s="18" t="n">
        <x:v>45717</x:v>
      </x:c>
      <x:c r="B116" t="n">
        <x:v>2025</x:v>
      </x:c>
      <x:c r="C116" t="n">
        <x:v>3</x:v>
      </x:c>
      <x:c r="D116" t="str">
        <x:v>Mar</x:v>
      </x:c>
      <x:c r="E116" t="str">
        <x:v>CL</x:v>
      </x:c>
      <x:c r="F116" t="str">
        <x:v>Chile</x:v>
      </x:c>
      <x:c r="G116" s="20" t="n">
        <x:v>54</x:v>
      </x:c>
      <x:c r="H116" t="str">
        <x:v>Pão de Açúcar</x:v>
      </x:c>
    </x:row>
    <x:row r="117">
      <x:c r="A117" s="18" t="n">
        <x:v>45717</x:v>
      </x:c>
      <x:c r="B117" t="n">
        <x:v>2025</x:v>
      </x:c>
      <x:c r="C117" t="n">
        <x:v>3</x:v>
      </x:c>
      <x:c r="D117" t="str">
        <x:v>Mar</x:v>
      </x:c>
      <x:c r="E117" t="str">
        <x:v>CO</x:v>
      </x:c>
      <x:c r="F117" t="str">
        <x:v>Colômbia</x:v>
      </x:c>
      <x:c r="G117" s="20" t="n">
        <x:v>62</x:v>
      </x:c>
      <x:c r="H117" t="str">
        <x:v>Pão de Açúcar</x:v>
      </x:c>
    </x:row>
    <x:row r="118">
      <x:c r="A118" s="18" t="n">
        <x:v>45717</x:v>
      </x:c>
      <x:c r="B118" t="n">
        <x:v>2025</x:v>
      </x:c>
      <x:c r="C118" t="n">
        <x:v>3</x:v>
      </x:c>
      <x:c r="D118" t="str">
        <x:v>Mar</x:v>
      </x:c>
      <x:c r="E118" t="str">
        <x:v>FR</x:v>
      </x:c>
      <x:c r="F118" t="str">
        <x:v>França</x:v>
      </x:c>
      <x:c r="G118" s="20" t="n">
        <x:v>59</x:v>
      </x:c>
      <x:c r="H118" t="str">
        <x:v>Pão de Açúcar</x:v>
      </x:c>
    </x:row>
    <x:row r="119">
      <x:c r="A119" s="18" t="n">
        <x:v>45717</x:v>
      </x:c>
      <x:c r="B119" t="n">
        <x:v>2025</x:v>
      </x:c>
      <x:c r="C119" t="n">
        <x:v>3</x:v>
      </x:c>
      <x:c r="D119" t="str">
        <x:v>Mar</x:v>
      </x:c>
      <x:c r="E119" t="str">
        <x:v>US</x:v>
      </x:c>
      <x:c r="F119" t="str">
        <x:v>Estados Unidos</x:v>
      </x:c>
      <x:c r="G119" s="20" t="n">
        <x:v>65</x:v>
      </x:c>
      <x:c r="H119" t="str">
        <x:v>Pão de Açúcar</x:v>
      </x:c>
    </x:row>
    <x:row r="120">
      <x:c r="A120" s="18" t="n">
        <x:v>45717</x:v>
      </x:c>
      <x:c r="B120" t="n">
        <x:v>2025</x:v>
      </x:c>
      <x:c r="C120" t="n">
        <x:v>3</x:v>
      </x:c>
      <x:c r="D120" t="str">
        <x:v>Mar</x:v>
      </x:c>
      <x:c r="E120" t="str">
        <x:v>UY</x:v>
      </x:c>
      <x:c r="F120" t="str">
        <x:v>Uruguai</x:v>
      </x:c>
      <x:c r="G120" s="20" t="n">
        <x:v>67</x:v>
      </x:c>
      <x:c r="H120" t="str">
        <x:v>Pão de Açúcar</x:v>
      </x:c>
    </x:row>
    <x:row r="121">
      <x:c r="A121" s="18" t="n">
        <x:v>45717</x:v>
      </x:c>
      <x:c r="B121" t="n">
        <x:v>2025</x:v>
      </x:c>
      <x:c r="C121" t="n">
        <x:v>3</x:v>
      </x:c>
      <x:c r="D121" t="str">
        <x:v>Mar</x:v>
      </x:c>
      <x:c r="E121" t="str">
        <x:v>WORLD</x:v>
      </x:c>
      <x:c r="F121" t="str">
        <x:v>Mundo</x:v>
      </x:c>
      <x:c r="G121" s="20" t="n">
        <x:v>86</x:v>
      </x:c>
      <x:c r="H121" t="str">
        <x:v>Pão de Açúcar</x:v>
      </x:c>
    </x:row>
    <x:row r="122">
      <x:c r="A122" s="18" t="n">
        <x:v>45748</x:v>
      </x:c>
      <x:c r="B122" t="n">
        <x:v>2025</x:v>
      </x:c>
      <x:c r="C122" t="n">
        <x:v>4</x:v>
      </x:c>
      <x:c r="D122" t="str">
        <x:v>Abr</x:v>
      </x:c>
      <x:c r="E122" t="str">
        <x:v>AR</x:v>
      </x:c>
      <x:c r="F122" t="str">
        <x:v>Argentina</x:v>
      </x:c>
      <x:c r="G122" s="20" t="n">
        <x:v>49</x:v>
      </x:c>
      <x:c r="H122" t="str">
        <x:v>Pão de Açúcar</x:v>
      </x:c>
    </x:row>
    <x:row r="123">
      <x:c r="A123" s="18" t="n">
        <x:v>45748</x:v>
      </x:c>
      <x:c r="B123" t="n">
        <x:v>2025</x:v>
      </x:c>
      <x:c r="C123" t="n">
        <x:v>4</x:v>
      </x:c>
      <x:c r="D123" t="str">
        <x:v>Abr</x:v>
      </x:c>
      <x:c r="E123" t="str">
        <x:v>BR</x:v>
      </x:c>
      <x:c r="F123" t="str">
        <x:v>Brasil</x:v>
      </x:c>
      <x:c r="G123" s="20" t="n">
        <x:v>73</x:v>
      </x:c>
      <x:c r="H123" t="str">
        <x:v>Pão de Açúcar</x:v>
      </x:c>
    </x:row>
    <x:row r="124">
      <x:c r="A124" s="18" t="n">
        <x:v>45748</x:v>
      </x:c>
      <x:c r="B124" t="n">
        <x:v>2025</x:v>
      </x:c>
      <x:c r="C124" t="n">
        <x:v>4</x:v>
      </x:c>
      <x:c r="D124" t="str">
        <x:v>Abr</x:v>
      </x:c>
      <x:c r="E124" t="str">
        <x:v>CL</x:v>
      </x:c>
      <x:c r="F124" t="str">
        <x:v>Chile</x:v>
      </x:c>
      <x:c r="G124" s="20" t="n">
        <x:v>42</x:v>
      </x:c>
      <x:c r="H124" t="str">
        <x:v>Pão de Açúcar</x:v>
      </x:c>
    </x:row>
    <x:row r="125">
      <x:c r="A125" s="18" t="n">
        <x:v>45748</x:v>
      </x:c>
      <x:c r="B125" t="n">
        <x:v>2025</x:v>
      </x:c>
      <x:c r="C125" t="n">
        <x:v>4</x:v>
      </x:c>
      <x:c r="D125" t="str">
        <x:v>Abr</x:v>
      </x:c>
      <x:c r="E125" t="str">
        <x:v>CO</x:v>
      </x:c>
      <x:c r="F125" t="str">
        <x:v>Colômbia</x:v>
      </x:c>
      <x:c r="G125" s="20" t="n">
        <x:v>83</x:v>
      </x:c>
      <x:c r="H125" t="str">
        <x:v>Pão de Açúcar</x:v>
      </x:c>
    </x:row>
    <x:row r="126">
      <x:c r="A126" s="18" t="n">
        <x:v>45748</x:v>
      </x:c>
      <x:c r="B126" t="n">
        <x:v>2025</x:v>
      </x:c>
      <x:c r="C126" t="n">
        <x:v>4</x:v>
      </x:c>
      <x:c r="D126" t="str">
        <x:v>Abr</x:v>
      </x:c>
      <x:c r="E126" t="str">
        <x:v>FR</x:v>
      </x:c>
      <x:c r="F126" t="str">
        <x:v>França</x:v>
      </x:c>
      <x:c r="G126" s="20" t="n">
        <x:v>48</x:v>
      </x:c>
      <x:c r="H126" t="str">
        <x:v>Pão de Açúcar</x:v>
      </x:c>
    </x:row>
    <x:row r="127">
      <x:c r="A127" s="18" t="n">
        <x:v>45748</x:v>
      </x:c>
      <x:c r="B127" t="n">
        <x:v>2025</x:v>
      </x:c>
      <x:c r="C127" t="n">
        <x:v>4</x:v>
      </x:c>
      <x:c r="D127" t="str">
        <x:v>Abr</x:v>
      </x:c>
      <x:c r="E127" t="str">
        <x:v>US</x:v>
      </x:c>
      <x:c r="F127" t="str">
        <x:v>Estados Unidos</x:v>
      </x:c>
      <x:c r="G127" s="20" t="n">
        <x:v>54</x:v>
      </x:c>
      <x:c r="H127" t="str">
        <x:v>Pão de Açúcar</x:v>
      </x:c>
    </x:row>
    <x:row r="128">
      <x:c r="A128" s="18" t="n">
        <x:v>45748</x:v>
      </x:c>
      <x:c r="B128" t="n">
        <x:v>2025</x:v>
      </x:c>
      <x:c r="C128" t="n">
        <x:v>4</x:v>
      </x:c>
      <x:c r="D128" t="str">
        <x:v>Abr</x:v>
      </x:c>
      <x:c r="E128" t="str">
        <x:v>UY</x:v>
      </x:c>
      <x:c r="F128" t="str">
        <x:v>Uruguai</x:v>
      </x:c>
      <x:c r="G128" s="20" t="n">
        <x:v>100</x:v>
      </x:c>
      <x:c r="H128" t="str">
        <x:v>Pão de Açúcar</x:v>
      </x:c>
    </x:row>
    <x:row r="129">
      <x:c r="A129" s="18" t="n">
        <x:v>45748</x:v>
      </x:c>
      <x:c r="B129" t="n">
        <x:v>2025</x:v>
      </x:c>
      <x:c r="C129" t="n">
        <x:v>4</x:v>
      </x:c>
      <x:c r="D129" t="str">
        <x:v>Abr</x:v>
      </x:c>
      <x:c r="E129" t="str">
        <x:v>WORLD</x:v>
      </x:c>
      <x:c r="F129" t="str">
        <x:v>Mundo</x:v>
      </x:c>
      <x:c r="G129" s="20" t="n">
        <x:v>66</x:v>
      </x:c>
      <x:c r="H129" t="str">
        <x:v>Pão de Açúcar</x:v>
      </x:c>
    </x:row>
    <x:row r="130">
      <x:c r="A130" s="18" t="n">
        <x:v>45778</x:v>
      </x:c>
      <x:c r="B130" t="n">
        <x:v>2025</x:v>
      </x:c>
      <x:c r="C130" t="n">
        <x:v>5</x:v>
      </x:c>
      <x:c r="D130" t="str">
        <x:v>Mai</x:v>
      </x:c>
      <x:c r="E130" t="str">
        <x:v>AR</x:v>
      </x:c>
      <x:c r="F130" t="str">
        <x:v>Argentina</x:v>
      </x:c>
      <x:c r="G130" s="20" t="n">
        <x:v>36</x:v>
      </x:c>
      <x:c r="H130" t="str">
        <x:v>Pão de Açúcar</x:v>
      </x:c>
    </x:row>
    <x:row r="131">
      <x:c r="A131" s="18" t="n">
        <x:v>45778</x:v>
      </x:c>
      <x:c r="B131" t="n">
        <x:v>2025</x:v>
      </x:c>
      <x:c r="C131" t="n">
        <x:v>5</x:v>
      </x:c>
      <x:c r="D131" t="str">
        <x:v>Mai</x:v>
      </x:c>
      <x:c r="E131" t="str">
        <x:v>BR</x:v>
      </x:c>
      <x:c r="F131" t="str">
        <x:v>Brasil</x:v>
      </x:c>
      <x:c r="G131" s="20" t="n">
        <x:v>71</x:v>
      </x:c>
      <x:c r="H131" t="str">
        <x:v>Pão de Açúcar</x:v>
      </x:c>
    </x:row>
    <x:row r="132">
      <x:c r="A132" s="18" t="n">
        <x:v>45778</x:v>
      </x:c>
      <x:c r="B132" t="n">
        <x:v>2025</x:v>
      </x:c>
      <x:c r="C132" t="n">
        <x:v>5</x:v>
      </x:c>
      <x:c r="D132" t="str">
        <x:v>Mai</x:v>
      </x:c>
      <x:c r="E132" t="str">
        <x:v>CL</x:v>
      </x:c>
      <x:c r="F132" t="str">
        <x:v>Chile</x:v>
      </x:c>
      <x:c r="G132" s="20" t="n">
        <x:v>44</x:v>
      </x:c>
      <x:c r="H132" t="str">
        <x:v>Pão de Açúcar</x:v>
      </x:c>
    </x:row>
    <x:row r="133">
      <x:c r="A133" s="18" t="n">
        <x:v>45778</x:v>
      </x:c>
      <x:c r="B133" t="n">
        <x:v>2025</x:v>
      </x:c>
      <x:c r="C133" t="n">
        <x:v>5</x:v>
      </x:c>
      <x:c r="D133" t="str">
        <x:v>Mai</x:v>
      </x:c>
      <x:c r="E133" t="str">
        <x:v>CO</x:v>
      </x:c>
      <x:c r="F133" t="str">
        <x:v>Colômbia</x:v>
      </x:c>
      <x:c r="G133" s="20" t="n">
        <x:v>79</x:v>
      </x:c>
      <x:c r="H133" t="str">
        <x:v>Pão de Açúcar</x:v>
      </x:c>
    </x:row>
    <x:row r="134">
      <x:c r="A134" s="18" t="n">
        <x:v>45778</x:v>
      </x:c>
      <x:c r="B134" t="n">
        <x:v>2025</x:v>
      </x:c>
      <x:c r="C134" t="n">
        <x:v>5</x:v>
      </x:c>
      <x:c r="D134" t="str">
        <x:v>Mai</x:v>
      </x:c>
      <x:c r="E134" t="str">
        <x:v>FR</x:v>
      </x:c>
      <x:c r="F134" t="str">
        <x:v>França</x:v>
      </x:c>
      <x:c r="G134" s="20" t="n">
        <x:v>54</x:v>
      </x:c>
      <x:c r="H134" t="str">
        <x:v>Pão de Açúcar</x:v>
      </x:c>
    </x:row>
    <x:row r="135">
      <x:c r="A135" s="18" t="n">
        <x:v>45778</x:v>
      </x:c>
      <x:c r="B135" t="n">
        <x:v>2025</x:v>
      </x:c>
      <x:c r="C135" t="n">
        <x:v>5</x:v>
      </x:c>
      <x:c r="D135" t="str">
        <x:v>Mai</x:v>
      </x:c>
      <x:c r="E135" t="str">
        <x:v>US</x:v>
      </x:c>
      <x:c r="F135" t="str">
        <x:v>Estados Unidos</x:v>
      </x:c>
      <x:c r="G135" s="20" t="n">
        <x:v>51</x:v>
      </x:c>
      <x:c r="H135" t="str">
        <x:v>Pão de Açúcar</x:v>
      </x:c>
    </x:row>
    <x:row r="136">
      <x:c r="A136" s="18" t="n">
        <x:v>45778</x:v>
      </x:c>
      <x:c r="B136" t="n">
        <x:v>2025</x:v>
      </x:c>
      <x:c r="C136" t="n">
        <x:v>5</x:v>
      </x:c>
      <x:c r="D136" t="str">
        <x:v>Mai</x:v>
      </x:c>
      <x:c r="E136" t="str">
        <x:v>UY</x:v>
      </x:c>
      <x:c r="F136" t="str">
        <x:v>Uruguai</x:v>
      </x:c>
      <x:c r="G136" s="20" t="n">
        <x:v>34</x:v>
      </x:c>
      <x:c r="H136" t="str">
        <x:v>Pão de Açúcar</x:v>
      </x:c>
    </x:row>
    <x:row r="137">
      <x:c r="A137" s="18" t="n">
        <x:v>45778</x:v>
      </x:c>
      <x:c r="B137" t="n">
        <x:v>2025</x:v>
      </x:c>
      <x:c r="C137" t="n">
        <x:v>5</x:v>
      </x:c>
      <x:c r="D137" t="str">
        <x:v>Mai</x:v>
      </x:c>
      <x:c r="E137" t="str">
        <x:v>WORLD</x:v>
      </x:c>
      <x:c r="F137" t="str">
        <x:v>Mundo</x:v>
      </x:c>
      <x:c r="G137" s="20" t="n">
        <x:v>67</x:v>
      </x:c>
      <x:c r="H137" t="str">
        <x:v>Pão de Açúcar</x:v>
      </x:c>
    </x:row>
    <x:row r="138">
      <x:c r="A138" s="18" t="n">
        <x:v>45809</x:v>
      </x:c>
      <x:c r="B138" t="n">
        <x:v>2025</x:v>
      </x:c>
      <x:c r="C138" t="n">
        <x:v>6</x:v>
      </x:c>
      <x:c r="D138" t="str">
        <x:v>Jun</x:v>
      </x:c>
      <x:c r="E138" t="str">
        <x:v>AR</x:v>
      </x:c>
      <x:c r="F138" t="str">
        <x:v>Argentina</x:v>
      </x:c>
      <x:c r="G138" s="20" t="n">
        <x:v>38</x:v>
      </x:c>
      <x:c r="H138" t="str">
        <x:v>Pão de Açúcar</x:v>
      </x:c>
    </x:row>
    <x:row r="139">
      <x:c r="A139" s="18" t="n">
        <x:v>45809</x:v>
      </x:c>
      <x:c r="B139" t="n">
        <x:v>2025</x:v>
      </x:c>
      <x:c r="C139" t="n">
        <x:v>6</x:v>
      </x:c>
      <x:c r="D139" t="str">
        <x:v>Jun</x:v>
      </x:c>
      <x:c r="E139" t="str">
        <x:v>BR</x:v>
      </x:c>
      <x:c r="F139" t="str">
        <x:v>Brasil</x:v>
      </x:c>
      <x:c r="G139" s="20" t="n">
        <x:v>77</x:v>
      </x:c>
      <x:c r="H139" t="str">
        <x:v>Pão de Açúcar</x:v>
      </x:c>
    </x:row>
    <x:row r="140">
      <x:c r="A140" s="18" t="n">
        <x:v>45809</x:v>
      </x:c>
      <x:c r="B140" t="n">
        <x:v>2025</x:v>
      </x:c>
      <x:c r="C140" t="n">
        <x:v>6</x:v>
      </x:c>
      <x:c r="D140" t="str">
        <x:v>Jun</x:v>
      </x:c>
      <x:c r="E140" t="str">
        <x:v>CL</x:v>
      </x:c>
      <x:c r="F140" t="str">
        <x:v>Chile</x:v>
      </x:c>
      <x:c r="G140" s="20" t="n">
        <x:v>40</x:v>
      </x:c>
      <x:c r="H140" t="str">
        <x:v>Pão de Açúcar</x:v>
      </x:c>
    </x:row>
    <x:row r="141">
      <x:c r="A141" s="18" t="n">
        <x:v>45809</x:v>
      </x:c>
      <x:c r="B141" t="n">
        <x:v>2025</x:v>
      </x:c>
      <x:c r="C141" t="n">
        <x:v>6</x:v>
      </x:c>
      <x:c r="D141" t="str">
        <x:v>Jun</x:v>
      </x:c>
      <x:c r="E141" t="str">
        <x:v>CO</x:v>
      </x:c>
      <x:c r="F141" t="str">
        <x:v>Colômbia</x:v>
      </x:c>
      <x:c r="G141" s="20" t="n">
        <x:v>74</x:v>
      </x:c>
      <x:c r="H141" t="str">
        <x:v>Pão de Açúcar</x:v>
      </x:c>
    </x:row>
    <x:row r="142">
      <x:c r="A142" s="18" t="n">
        <x:v>45809</x:v>
      </x:c>
      <x:c r="B142" t="n">
        <x:v>2025</x:v>
      </x:c>
      <x:c r="C142" t="n">
        <x:v>6</x:v>
      </x:c>
      <x:c r="D142" t="str">
        <x:v>Jun</x:v>
      </x:c>
      <x:c r="E142" t="str">
        <x:v>FR</x:v>
      </x:c>
      <x:c r="F142" t="str">
        <x:v>França</x:v>
      </x:c>
      <x:c r="G142" s="20" t="n">
        <x:v>40</x:v>
      </x:c>
      <x:c r="H142" t="str">
        <x:v>Pão de Açúcar</x:v>
      </x:c>
    </x:row>
    <x:row r="143">
      <x:c r="A143" s="18" t="n">
        <x:v>45809</x:v>
      </x:c>
      <x:c r="B143" t="n">
        <x:v>2025</x:v>
      </x:c>
      <x:c r="C143" t="n">
        <x:v>6</x:v>
      </x:c>
      <x:c r="D143" t="str">
        <x:v>Jun</x:v>
      </x:c>
      <x:c r="E143" t="str">
        <x:v>US</x:v>
      </x:c>
      <x:c r="F143" t="str">
        <x:v>Estados Unidos</x:v>
      </x:c>
      <x:c r="G143" s="20" t="n">
        <x:v>53</x:v>
      </x:c>
      <x:c r="H143" t="str">
        <x:v>Pão de Açúcar</x:v>
      </x:c>
    </x:row>
    <x:row r="144">
      <x:c r="A144" s="18" t="n">
        <x:v>45809</x:v>
      </x:c>
      <x:c r="B144" t="n">
        <x:v>2025</x:v>
      </x:c>
      <x:c r="C144" t="n">
        <x:v>6</x:v>
      </x:c>
      <x:c r="D144" t="str">
        <x:v>Jun</x:v>
      </x:c>
      <x:c r="E144" t="str">
        <x:v>UY</x:v>
      </x:c>
      <x:c r="F144" t="str">
        <x:v>Uruguai</x:v>
      </x:c>
      <x:c r="G144" s="20" t="n">
        <x:v>37</x:v>
      </x:c>
      <x:c r="H144" t="str">
        <x:v>Pão de Açúcar</x:v>
      </x:c>
    </x:row>
    <x:row r="145">
      <x:c r="A145" s="18" t="n">
        <x:v>45809</x:v>
      </x:c>
      <x:c r="B145" t="n">
        <x:v>2025</x:v>
      </x:c>
      <x:c r="C145" t="n">
        <x:v>6</x:v>
      </x:c>
      <x:c r="D145" t="str">
        <x:v>Jun</x:v>
      </x:c>
      <x:c r="E145" t="str">
        <x:v>WORLD</x:v>
      </x:c>
      <x:c r="F145" t="str">
        <x:v>Mundo</x:v>
      </x:c>
      <x:c r="G145" s="20" t="n">
        <x:v>67</x:v>
      </x:c>
      <x:c r="H145" t="str">
        <x:v>Pão de Açúcar</x:v>
      </x:c>
    </x:row>
    <x:row r="146">
      <x:c r="A146" s="18" t="n">
        <x:v>45839</x:v>
      </x:c>
      <x:c r="B146" t="n">
        <x:v>2025</x:v>
      </x:c>
      <x:c r="C146" t="n">
        <x:v>7</x:v>
      </x:c>
      <x:c r="D146" t="str">
        <x:v>Jul</x:v>
      </x:c>
      <x:c r="E146" t="str">
        <x:v>AR</x:v>
      </x:c>
      <x:c r="F146" t="str">
        <x:v>Argentina</x:v>
      </x:c>
      <x:c r="G146" s="20" t="n">
        <x:v>53</x:v>
      </x:c>
      <x:c r="H146" t="str">
        <x:v>Pão de Açúcar</x:v>
      </x:c>
    </x:row>
    <x:row r="147">
      <x:c r="A147" s="18" t="n">
        <x:v>45839</x:v>
      </x:c>
      <x:c r="B147" t="n">
        <x:v>2025</x:v>
      </x:c>
      <x:c r="C147" t="n">
        <x:v>7</x:v>
      </x:c>
      <x:c r="D147" t="str">
        <x:v>Jul</x:v>
      </x:c>
      <x:c r="E147" t="str">
        <x:v>BR</x:v>
      </x:c>
      <x:c r="F147" t="str">
        <x:v>Brasil</x:v>
      </x:c>
      <x:c r="G147" s="20" t="n">
        <x:v>88</x:v>
      </x:c>
      <x:c r="H147" t="str">
        <x:v>Pão de Açúcar</x:v>
      </x:c>
    </x:row>
    <x:row r="148">
      <x:c r="A148" s="18" t="n">
        <x:v>45839</x:v>
      </x:c>
      <x:c r="B148" t="n">
        <x:v>2025</x:v>
      </x:c>
      <x:c r="C148" t="n">
        <x:v>7</x:v>
      </x:c>
      <x:c r="D148" t="str">
        <x:v>Jul</x:v>
      </x:c>
      <x:c r="E148" t="str">
        <x:v>CL</x:v>
      </x:c>
      <x:c r="F148" t="str">
        <x:v>Chile</x:v>
      </x:c>
      <x:c r="G148" s="20" t="n">
        <x:v>59</x:v>
      </x:c>
      <x:c r="H148" t="str">
        <x:v>Pão de Açúcar</x:v>
      </x:c>
    </x:row>
    <x:row r="149">
      <x:c r="A149" s="18" t="n">
        <x:v>45839</x:v>
      </x:c>
      <x:c r="B149" t="n">
        <x:v>2025</x:v>
      </x:c>
      <x:c r="C149" t="n">
        <x:v>7</x:v>
      </x:c>
      <x:c r="D149" t="str">
        <x:v>Jul</x:v>
      </x:c>
      <x:c r="E149" t="str">
        <x:v>CO</x:v>
      </x:c>
      <x:c r="F149" t="str">
        <x:v>Colômbia</x:v>
      </x:c>
      <x:c r="G149" s="20" t="n">
        <x:v>70</x:v>
      </x:c>
      <x:c r="H149" t="str">
        <x:v>Pão de Açúcar</x:v>
      </x:c>
    </x:row>
    <x:row r="150">
      <x:c r="A150" s="18" t="n">
        <x:v>45839</x:v>
      </x:c>
      <x:c r="B150" t="n">
        <x:v>2025</x:v>
      </x:c>
      <x:c r="C150" t="n">
        <x:v>7</x:v>
      </x:c>
      <x:c r="D150" t="str">
        <x:v>Jul</x:v>
      </x:c>
      <x:c r="E150" t="str">
        <x:v>FR</x:v>
      </x:c>
      <x:c r="F150" t="str">
        <x:v>França</x:v>
      </x:c>
      <x:c r="G150" s="20" t="n">
        <x:v>45</x:v>
      </x:c>
      <x:c r="H150" t="str">
        <x:v>Pão de Açúcar</x:v>
      </x:c>
    </x:row>
    <x:row r="151">
      <x:c r="A151" s="18" t="n">
        <x:v>45839</x:v>
      </x:c>
      <x:c r="B151" t="n">
        <x:v>2025</x:v>
      </x:c>
      <x:c r="C151" t="n">
        <x:v>7</x:v>
      </x:c>
      <x:c r="D151" t="str">
        <x:v>Jul</x:v>
      </x:c>
      <x:c r="E151" t="str">
        <x:v>US</x:v>
      </x:c>
      <x:c r="F151" t="str">
        <x:v>Estados Unidos</x:v>
      </x:c>
      <x:c r="G151" s="20" t="n">
        <x:v>78</x:v>
      </x:c>
      <x:c r="H151" t="str">
        <x:v>Pão de Açúcar</x:v>
      </x:c>
    </x:row>
    <x:row r="152">
      <x:c r="A152" s="18" t="n">
        <x:v>45839</x:v>
      </x:c>
      <x:c r="B152" t="n">
        <x:v>2025</x:v>
      </x:c>
      <x:c r="C152" t="n">
        <x:v>7</x:v>
      </x:c>
      <x:c r="D152" t="str">
        <x:v>Jul</x:v>
      </x:c>
      <x:c r="E152" t="str">
        <x:v>UY</x:v>
      </x:c>
      <x:c r="F152" t="str">
        <x:v>Uruguai</x:v>
      </x:c>
      <x:c r="G152" s="20" t="n">
        <x:v>0</x:v>
      </x:c>
      <x:c r="H152" t="str">
        <x:v>Pão de Açúcar</x:v>
      </x:c>
    </x:row>
    <x:row r="153">
      <x:c r="A153" s="18" t="n">
        <x:v>45839</x:v>
      </x:c>
      <x:c r="B153" t="n">
        <x:v>2025</x:v>
      </x:c>
      <x:c r="C153" t="n">
        <x:v>7</x:v>
      </x:c>
      <x:c r="D153" t="str">
        <x:v>Jul</x:v>
      </x:c>
      <x:c r="E153" t="str">
        <x:v>WORLD</x:v>
      </x:c>
      <x:c r="F153" t="str">
        <x:v>Mundo</x:v>
      </x:c>
      <x:c r="G153" s="20" t="n">
        <x:v>77</x:v>
      </x:c>
      <x:c r="H153" t="str">
        <x:v>Pão de Açúcar</x:v>
      </x:c>
    </x:row>
    <x:row r="154">
      <x:c r="A154" s="18" t="n">
        <x:v>45870</x:v>
      </x:c>
      <x:c r="B154" t="n">
        <x:v>2025</x:v>
      </x:c>
      <x:c r="C154" t="n">
        <x:v>8</x:v>
      </x:c>
      <x:c r="D154" t="str">
        <x:v>Ago</x:v>
      </x:c>
      <x:c r="E154" t="str">
        <x:v>AR</x:v>
      </x:c>
      <x:c r="F154" t="str">
        <x:v>Argentina</x:v>
      </x:c>
      <x:c r="G154" s="20" t="n">
        <x:v>51</x:v>
      </x:c>
      <x:c r="H154" t="str">
        <x:v>Pão de Açúcar</x:v>
      </x:c>
    </x:row>
    <x:row r="155">
      <x:c r="A155" s="18" t="n">
        <x:v>45870</x:v>
      </x:c>
      <x:c r="B155" t="n">
        <x:v>2025</x:v>
      </x:c>
      <x:c r="C155" t="n">
        <x:v>8</x:v>
      </x:c>
      <x:c r="D155" t="str">
        <x:v>Ago</x:v>
      </x:c>
      <x:c r="E155" t="str">
        <x:v>BR</x:v>
      </x:c>
      <x:c r="F155" t="str">
        <x:v>Brasil</x:v>
      </x:c>
      <x:c r="G155" s="20" t="n">
        <x:v>82</x:v>
      </x:c>
      <x:c r="H155" t="str">
        <x:v>Pão de Açúcar</x:v>
      </x:c>
    </x:row>
    <x:row r="156">
      <x:c r="A156" s="18" t="n">
        <x:v>45870</x:v>
      </x:c>
      <x:c r="B156" t="n">
        <x:v>2025</x:v>
      </x:c>
      <x:c r="C156" t="n">
        <x:v>8</x:v>
      </x:c>
      <x:c r="D156" t="str">
        <x:v>Ago</x:v>
      </x:c>
      <x:c r="E156" t="str">
        <x:v>CL</x:v>
      </x:c>
      <x:c r="F156" t="str">
        <x:v>Chile</x:v>
      </x:c>
      <x:c r="G156" s="20" t="n">
        <x:v>38</x:v>
      </x:c>
      <x:c r="H156" t="str">
        <x:v>Pão de Açúcar</x:v>
      </x:c>
    </x:row>
    <x:row r="157">
      <x:c r="A157" s="18" t="n">
        <x:v>45870</x:v>
      </x:c>
      <x:c r="B157" t="n">
        <x:v>2025</x:v>
      </x:c>
      <x:c r="C157" t="n">
        <x:v>8</x:v>
      </x:c>
      <x:c r="D157" t="str">
        <x:v>Ago</x:v>
      </x:c>
      <x:c r="E157" t="str">
        <x:v>CO</x:v>
      </x:c>
      <x:c r="F157" t="str">
        <x:v>Colômbia</x:v>
      </x:c>
      <x:c r="G157" s="20" t="n">
        <x:v>85</x:v>
      </x:c>
      <x:c r="H157" t="str">
        <x:v>Pão de Açúcar</x:v>
      </x:c>
    </x:row>
    <x:row r="158">
      <x:c r="A158" s="18" t="n">
        <x:v>45870</x:v>
      </x:c>
      <x:c r="B158" t="n">
        <x:v>2025</x:v>
      </x:c>
      <x:c r="C158" t="n">
        <x:v>8</x:v>
      </x:c>
      <x:c r="D158" t="str">
        <x:v>Ago</x:v>
      </x:c>
      <x:c r="E158" t="str">
        <x:v>FR</x:v>
      </x:c>
      <x:c r="F158" t="str">
        <x:v>França</x:v>
      </x:c>
      <x:c r="G158" s="20" t="n">
        <x:v>57</x:v>
      </x:c>
      <x:c r="H158" t="str">
        <x:v>Pão de Açúcar</x:v>
      </x:c>
    </x:row>
    <x:row r="159">
      <x:c r="A159" s="18" t="n">
        <x:v>45870</x:v>
      </x:c>
      <x:c r="B159" t="n">
        <x:v>2025</x:v>
      </x:c>
      <x:c r="C159" t="n">
        <x:v>8</x:v>
      </x:c>
      <x:c r="D159" t="str">
        <x:v>Ago</x:v>
      </x:c>
      <x:c r="E159" t="str">
        <x:v>US</x:v>
      </x:c>
      <x:c r="F159" t="str">
        <x:v>Estados Unidos</x:v>
      </x:c>
      <x:c r="G159" s="20" t="n">
        <x:v>58</x:v>
      </x:c>
      <x:c r="H159" t="str">
        <x:v>Pão de Açúcar</x:v>
      </x:c>
    </x:row>
    <x:row r="160">
      <x:c r="A160" s="18" t="n">
        <x:v>45870</x:v>
      </x:c>
      <x:c r="B160" t="n">
        <x:v>2025</x:v>
      </x:c>
      <x:c r="C160" t="n">
        <x:v>8</x:v>
      </x:c>
      <x:c r="D160" t="str">
        <x:v>Ago</x:v>
      </x:c>
      <x:c r="E160" t="str">
        <x:v>UY</x:v>
      </x:c>
      <x:c r="F160" t="str">
        <x:v>Uruguai</x:v>
      </x:c>
      <x:c r="G160" s="20" t="n">
        <x:v>48</x:v>
      </x:c>
      <x:c r="H160" t="str">
        <x:v>Pão de Açúcar</x:v>
      </x:c>
    </x:row>
    <x:row r="161">
      <x:c r="A161" s="18" t="n">
        <x:v>45870</x:v>
      </x:c>
      <x:c r="B161" t="n">
        <x:v>2025</x:v>
      </x:c>
      <x:c r="C161" t="n">
        <x:v>8</x:v>
      </x:c>
      <x:c r="D161" t="str">
        <x:v>Ago</x:v>
      </x:c>
      <x:c r="E161" t="str">
        <x:v>WORLD</x:v>
      </x:c>
      <x:c r="F161" t="str">
        <x:v>Mundo</x:v>
      </x:c>
      <x:c r="G161" s="20" t="n">
        <x:v>81</x:v>
      </x:c>
      <x:c r="H161" t="str">
        <x:v>Pão de Açúcar</x:v>
      </x:c>
    </x:row>
    <x:row r="162">
      <x:c r="A162" s="18" t="n">
        <x:v>45901</x:v>
      </x:c>
      <x:c r="B162" t="n">
        <x:v>2025</x:v>
      </x:c>
      <x:c r="C162" t="n">
        <x:v>9</x:v>
      </x:c>
      <x:c r="D162" t="str">
        <x:v>Set</x:v>
      </x:c>
      <x:c r="E162" t="str">
        <x:v>AR</x:v>
      </x:c>
      <x:c r="F162" t="str">
        <x:v>Argentina</x:v>
      </x:c>
      <x:c r="G162" s="20" t="n">
        <x:v>49</x:v>
      </x:c>
      <x:c r="H162" t="str">
        <x:v>Pão de Açúcar</x:v>
      </x:c>
    </x:row>
    <x:row r="163">
      <x:c r="A163" s="18" t="n">
        <x:v>45901</x:v>
      </x:c>
      <x:c r="B163" t="n">
        <x:v>2025</x:v>
      </x:c>
      <x:c r="C163" t="n">
        <x:v>9</x:v>
      </x:c>
      <x:c r="D163" t="str">
        <x:v>Set</x:v>
      </x:c>
      <x:c r="E163" t="str">
        <x:v>BR</x:v>
      </x:c>
      <x:c r="F163" t="str">
        <x:v>Brasil</x:v>
      </x:c>
      <x:c r="G163" s="20" t="n">
        <x:v>84</x:v>
      </x:c>
      <x:c r="H163" t="str">
        <x:v>Pão de Açúcar</x:v>
      </x:c>
    </x:row>
    <x:row r="164">
      <x:c r="A164" s="18" t="n">
        <x:v>45901</x:v>
      </x:c>
      <x:c r="B164" t="n">
        <x:v>2025</x:v>
      </x:c>
      <x:c r="C164" t="n">
        <x:v>9</x:v>
      </x:c>
      <x:c r="D164" t="str">
        <x:v>Set</x:v>
      </x:c>
      <x:c r="E164" t="str">
        <x:v>CL</x:v>
      </x:c>
      <x:c r="F164" t="str">
        <x:v>Chile</x:v>
      </x:c>
      <x:c r="G164" s="20" t="n">
        <x:v>49</x:v>
      </x:c>
      <x:c r="H164" t="str">
        <x:v>Pão de Açúcar</x:v>
      </x:c>
    </x:row>
    <x:row r="165">
      <x:c r="A165" s="18" t="n">
        <x:v>45901</x:v>
      </x:c>
      <x:c r="B165" t="n">
        <x:v>2025</x:v>
      </x:c>
      <x:c r="C165" t="n">
        <x:v>9</x:v>
      </x:c>
      <x:c r="D165" t="str">
        <x:v>Set</x:v>
      </x:c>
      <x:c r="E165" t="str">
        <x:v>CO</x:v>
      </x:c>
      <x:c r="F165" t="str">
        <x:v>Colômbia</x:v>
      </x:c>
      <x:c r="G165" s="20" t="n">
        <x:v>84</x:v>
      </x:c>
      <x:c r="H165" t="str">
        <x:v>Pão de Açúcar</x:v>
      </x:c>
    </x:row>
    <x:row r="166">
      <x:c r="A166" s="18" t="n">
        <x:v>45901</x:v>
      </x:c>
      <x:c r="B166" t="n">
        <x:v>2025</x:v>
      </x:c>
      <x:c r="C166" t="n">
        <x:v>9</x:v>
      </x:c>
      <x:c r="D166" t="str">
        <x:v>Set</x:v>
      </x:c>
      <x:c r="E166" t="str">
        <x:v>FR</x:v>
      </x:c>
      <x:c r="F166" t="str">
        <x:v>França</x:v>
      </x:c>
      <x:c r="G166" s="20" t="n">
        <x:v>50</x:v>
      </x:c>
      <x:c r="H166" t="str">
        <x:v>Pão de Açúcar</x:v>
      </x:c>
    </x:row>
    <x:row r="167">
      <x:c r="A167" s="18" t="n">
        <x:v>45901</x:v>
      </x:c>
      <x:c r="B167" t="n">
        <x:v>2025</x:v>
      </x:c>
      <x:c r="C167" t="n">
        <x:v>9</x:v>
      </x:c>
      <x:c r="D167" t="str">
        <x:v>Set</x:v>
      </x:c>
      <x:c r="E167" t="str">
        <x:v>US</x:v>
      </x:c>
      <x:c r="F167" t="str">
        <x:v>Estados Unidos</x:v>
      </x:c>
      <x:c r="G167" s="20" t="n">
        <x:v>38</x:v>
      </x:c>
      <x:c r="H167" t="str">
        <x:v>Pão de Açúcar</x:v>
      </x:c>
    </x:row>
    <x:row r="168">
      <x:c r="A168" s="18" t="n">
        <x:v>45901</x:v>
      </x:c>
      <x:c r="B168" t="n">
        <x:v>2025</x:v>
      </x:c>
      <x:c r="C168" t="n">
        <x:v>9</x:v>
      </x:c>
      <x:c r="D168" t="str">
        <x:v>Set</x:v>
      </x:c>
      <x:c r="E168" t="str">
        <x:v>UY</x:v>
      </x:c>
      <x:c r="F168" t="str">
        <x:v>Uruguai</x:v>
      </x:c>
      <x:c r="G168" s="20" t="n">
        <x:v>52</x:v>
      </x:c>
      <x:c r="H168" t="str">
        <x:v>Pão de Açúcar</x:v>
      </x:c>
    </x:row>
    <x:row r="169">
      <x:c r="A169" s="18" t="n">
        <x:v>45901</x:v>
      </x:c>
      <x:c r="B169" t="n">
        <x:v>2025</x:v>
      </x:c>
      <x:c r="C169" t="n">
        <x:v>9</x:v>
      </x:c>
      <x:c r="D169" t="str">
        <x:v>Set</x:v>
      </x:c>
      <x:c r="E169" t="str">
        <x:v>WORLD</x:v>
      </x:c>
      <x:c r="F169" t="str">
        <x:v>Mundo</x:v>
      </x:c>
      <x:c r="G169" s="20" t="n">
        <x:v>67</x:v>
      </x:c>
      <x:c r="H169" t="str">
        <x:v>Pão de Açúcar</x:v>
      </x:c>
    </x:row>
    <x:row r="170">
      <x:c r="A170" s="18" t="n">
        <x:v>45931</x:v>
      </x:c>
      <x:c r="B170" t="n">
        <x:v>2025</x:v>
      </x:c>
      <x:c r="C170" t="n">
        <x:v>10</x:v>
      </x:c>
      <x:c r="D170" t="str">
        <x:v>Out</x:v>
      </x:c>
      <x:c r="E170" t="str">
        <x:v>AR</x:v>
      </x:c>
      <x:c r="F170" t="str">
        <x:v>Argentina</x:v>
      </x:c>
      <x:c r="G170" s="20" t="n">
        <x:v>61</x:v>
      </x:c>
      <x:c r="H170" t="str">
        <x:v>Pão de Açúcar</x:v>
      </x:c>
    </x:row>
    <x:row r="171">
      <x:c r="A171" s="18" t="n">
        <x:v>45931</x:v>
      </x:c>
      <x:c r="B171" t="n">
        <x:v>2025</x:v>
      </x:c>
      <x:c r="C171" t="n">
        <x:v>10</x:v>
      </x:c>
      <x:c r="D171" t="str">
        <x:v>Out</x:v>
      </x:c>
      <x:c r="E171" t="str">
        <x:v>BR</x:v>
      </x:c>
      <x:c r="F171" t="str">
        <x:v>Brasil</x:v>
      </x:c>
      <x:c r="G171" s="20" t="n">
        <x:v>71</x:v>
      </x:c>
      <x:c r="H171" t="str">
        <x:v>Pão de Açúcar</x:v>
      </x:c>
    </x:row>
    <x:row r="172">
      <x:c r="A172" s="18" t="n">
        <x:v>45931</x:v>
      </x:c>
      <x:c r="B172" t="n">
        <x:v>2025</x:v>
      </x:c>
      <x:c r="C172" t="n">
        <x:v>10</x:v>
      </x:c>
      <x:c r="D172" t="str">
        <x:v>Out</x:v>
      </x:c>
      <x:c r="E172" t="str">
        <x:v>CL</x:v>
      </x:c>
      <x:c r="F172" t="str">
        <x:v>Chile</x:v>
      </x:c>
      <x:c r="G172" s="20" t="n">
        <x:v>51</x:v>
      </x:c>
      <x:c r="H172" t="str">
        <x:v>Pão de Açúcar</x:v>
      </x:c>
    </x:row>
    <x:row r="173">
      <x:c r="A173" s="18" t="n">
        <x:v>45931</x:v>
      </x:c>
      <x:c r="B173" t="n">
        <x:v>2025</x:v>
      </x:c>
      <x:c r="C173" t="n">
        <x:v>10</x:v>
      </x:c>
      <x:c r="D173" t="str">
        <x:v>Out</x:v>
      </x:c>
      <x:c r="E173" t="str">
        <x:v>CO</x:v>
      </x:c>
      <x:c r="F173" t="str">
        <x:v>Colômbia</x:v>
      </x:c>
      <x:c r="G173" s="20" t="n">
        <x:v>71</x:v>
      </x:c>
      <x:c r="H173" t="str">
        <x:v>Pão de Açúcar</x:v>
      </x:c>
    </x:row>
    <x:row r="174">
      <x:c r="A174" s="18" t="n">
        <x:v>45931</x:v>
      </x:c>
      <x:c r="B174" t="n">
        <x:v>2025</x:v>
      </x:c>
      <x:c r="C174" t="n">
        <x:v>10</x:v>
      </x:c>
      <x:c r="D174" t="str">
        <x:v>Out</x:v>
      </x:c>
      <x:c r="E174" t="str">
        <x:v>FR</x:v>
      </x:c>
      <x:c r="F174" t="str">
        <x:v>França</x:v>
      </x:c>
      <x:c r="G174" s="20" t="n">
        <x:v>42</x:v>
      </x:c>
      <x:c r="H174" t="str">
        <x:v>Pão de Açúcar</x:v>
      </x:c>
    </x:row>
    <x:row r="175">
      <x:c r="A175" s="18" t="n">
        <x:v>45931</x:v>
      </x:c>
      <x:c r="B175" t="n">
        <x:v>2025</x:v>
      </x:c>
      <x:c r="C175" t="n">
        <x:v>10</x:v>
      </x:c>
      <x:c r="D175" t="str">
        <x:v>Out</x:v>
      </x:c>
      <x:c r="E175" t="str">
        <x:v>US</x:v>
      </x:c>
      <x:c r="F175" t="str">
        <x:v>Estados Unidos</x:v>
      </x:c>
      <x:c r="G175" s="20" t="n">
        <x:v>43</x:v>
      </x:c>
      <x:c r="H175" t="str">
        <x:v>Pão de Açúcar</x:v>
      </x:c>
    </x:row>
    <x:row r="176">
      <x:c r="A176" s="18" t="n">
        <x:v>45931</x:v>
      </x:c>
      <x:c r="B176" t="n">
        <x:v>2025</x:v>
      </x:c>
      <x:c r="C176" t="n">
        <x:v>10</x:v>
      </x:c>
      <x:c r="D176" t="str">
        <x:v>Out</x:v>
      </x:c>
      <x:c r="E176" t="str">
        <x:v>UY</x:v>
      </x:c>
      <x:c r="F176" t="str">
        <x:v>Uruguai</x:v>
      </x:c>
      <x:c r="G176" s="20" t="n">
        <x:v>46</x:v>
      </x:c>
      <x:c r="H176" t="str">
        <x:v>Pão de Açúcar</x:v>
      </x:c>
    </x:row>
    <x:row r="177">
      <x:c r="A177" s="18" t="n">
        <x:v>45931</x:v>
      </x:c>
      <x:c r="B177" t="n">
        <x:v>2025</x:v>
      </x:c>
      <x:c r="C177" t="n">
        <x:v>10</x:v>
      </x:c>
      <x:c r="D177" t="str">
        <x:v>Out</x:v>
      </x:c>
      <x:c r="E177" t="str">
        <x:v>WORLD</x:v>
      </x:c>
      <x:c r="F177" t="str">
        <x:v>Mundo</x:v>
      </x:c>
      <x:c r="G177" s="20" t="n">
        <x:v>67</x:v>
      </x:c>
      <x:c r="H177" t="str">
        <x:v>Pão de Açúcar</x:v>
      </x:c>
    </x:row>
    <x:row r="178">
      <x:c r="A178" s="18" t="n">
        <x:v>45962</x:v>
      </x:c>
      <x:c r="B178" t="n">
        <x:v>2025</x:v>
      </x:c>
      <x:c r="C178" t="n">
        <x:v>11</x:v>
      </x:c>
      <x:c r="D178" t="str">
        <x:v>Nov</x:v>
      </x:c>
      <x:c r="E178" t="str">
        <x:v>AR</x:v>
      </x:c>
      <x:c r="F178" t="str">
        <x:v>Argentina</x:v>
      </x:c>
      <x:c r="G178" s="20" t="n">
        <x:v>55</x:v>
      </x:c>
      <x:c r="H178" t="str">
        <x:v>Pão de Açúcar</x:v>
      </x:c>
    </x:row>
    <x:row r="179">
      <x:c r="A179" s="18" t="n">
        <x:v>45962</x:v>
      </x:c>
      <x:c r="B179" t="n">
        <x:v>2025</x:v>
      </x:c>
      <x:c r="C179" t="n">
        <x:v>11</x:v>
      </x:c>
      <x:c r="D179" t="str">
        <x:v>Nov</x:v>
      </x:c>
      <x:c r="E179" t="str">
        <x:v>BR</x:v>
      </x:c>
      <x:c r="F179" t="str">
        <x:v>Brasil</x:v>
      </x:c>
      <x:c r="G179" s="20" t="n">
        <x:v>70</x:v>
      </x:c>
      <x:c r="H179" t="str">
        <x:v>Pão de Açúcar</x:v>
      </x:c>
    </x:row>
    <x:row r="180">
      <x:c r="A180" s="18" t="n">
        <x:v>45962</x:v>
      </x:c>
      <x:c r="B180" t="n">
        <x:v>2025</x:v>
      </x:c>
      <x:c r="C180" t="n">
        <x:v>11</x:v>
      </x:c>
      <x:c r="D180" t="str">
        <x:v>Nov</x:v>
      </x:c>
      <x:c r="E180" t="str">
        <x:v>CL</x:v>
      </x:c>
      <x:c r="F180" t="str">
        <x:v>Chile</x:v>
      </x:c>
      <x:c r="G180" s="20" t="n">
        <x:v>48</x:v>
      </x:c>
      <x:c r="H180" t="str">
        <x:v>Pão de Açúcar</x:v>
      </x:c>
    </x:row>
    <x:row r="181">
      <x:c r="A181" s="18" t="n">
        <x:v>45962</x:v>
      </x:c>
      <x:c r="B181" t="n">
        <x:v>2025</x:v>
      </x:c>
      <x:c r="C181" t="n">
        <x:v>11</x:v>
      </x:c>
      <x:c r="D181" t="str">
        <x:v>Nov</x:v>
      </x:c>
      <x:c r="E181" t="str">
        <x:v>CO</x:v>
      </x:c>
      <x:c r="F181" t="str">
        <x:v>Colômbia</x:v>
      </x:c>
      <x:c r="G181" s="20" t="n">
        <x:v>89</x:v>
      </x:c>
      <x:c r="H181" t="str">
        <x:v>Pão de Açúcar</x:v>
      </x:c>
    </x:row>
    <x:row r="182">
      <x:c r="A182" s="18" t="n">
        <x:v>45962</x:v>
      </x:c>
      <x:c r="B182" t="n">
        <x:v>2025</x:v>
      </x:c>
      <x:c r="C182" t="n">
        <x:v>11</x:v>
      </x:c>
      <x:c r="D182" t="str">
        <x:v>Nov</x:v>
      </x:c>
      <x:c r="E182" t="str">
        <x:v>FR</x:v>
      </x:c>
      <x:c r="F182" t="str">
        <x:v>França</x:v>
      </x:c>
      <x:c r="G182" s="20" t="n">
        <x:v>55</x:v>
      </x:c>
      <x:c r="H182" t="str">
        <x:v>Pão de Açúcar</x:v>
      </x:c>
    </x:row>
    <x:row r="183">
      <x:c r="A183" s="18" t="n">
        <x:v>45962</x:v>
      </x:c>
      <x:c r="B183" t="n">
        <x:v>2025</x:v>
      </x:c>
      <x:c r="C183" t="n">
        <x:v>11</x:v>
      </x:c>
      <x:c r="D183" t="str">
        <x:v>Nov</x:v>
      </x:c>
      <x:c r="E183" t="str">
        <x:v>US</x:v>
      </x:c>
      <x:c r="F183" t="str">
        <x:v>Estados Unidos</x:v>
      </x:c>
      <x:c r="G183" s="20" t="n">
        <x:v>70</x:v>
      </x:c>
      <x:c r="H183" t="str">
        <x:v>Pão de Açúcar</x:v>
      </x:c>
    </x:row>
    <x:row r="184">
      <x:c r="A184" s="18" t="n">
        <x:v>45962</x:v>
      </x:c>
      <x:c r="B184" t="n">
        <x:v>2025</x:v>
      </x:c>
      <x:c r="C184" t="n">
        <x:v>11</x:v>
      </x:c>
      <x:c r="D184" t="str">
        <x:v>Nov</x:v>
      </x:c>
      <x:c r="E184" t="str">
        <x:v>UY</x:v>
      </x:c>
      <x:c r="F184" t="str">
        <x:v>Uruguai</x:v>
      </x:c>
      <x:c r="G184" s="20" t="n">
        <x:v>49</x:v>
      </x:c>
      <x:c r="H184" t="str">
        <x:v>Pão de Açúcar</x:v>
      </x:c>
    </x:row>
    <x:row r="185">
      <x:c r="A185" s="18" t="n">
        <x:v>45962</x:v>
      </x:c>
      <x:c r="B185" t="n">
        <x:v>2025</x:v>
      </x:c>
      <x:c r="C185" t="n">
        <x:v>11</x:v>
      </x:c>
      <x:c r="D185" t="str">
        <x:v>Nov</x:v>
      </x:c>
      <x:c r="E185" t="str">
        <x:v>WORLD</x:v>
      </x:c>
      <x:c r="F185" t="str">
        <x:v>Mundo</x:v>
      </x:c>
      <x:c r="G185" s="20" t="n">
        <x:v>63</x:v>
      </x:c>
      <x:c r="H185" t="str">
        <x:v>Pão de Açúcar</x:v>
      </x:c>
    </x:row>
    <x:row r="186">
      <x:c r="A186" s="18" t="n">
        <x:v>45992</x:v>
      </x:c>
      <x:c r="B186" t="n">
        <x:v>2025</x:v>
      </x:c>
      <x:c r="C186" t="n">
        <x:v>12</x:v>
      </x:c>
      <x:c r="D186" t="str">
        <x:v>Dez</x:v>
      </x:c>
      <x:c r="E186" t="str">
        <x:v>AR</x:v>
      </x:c>
      <x:c r="F186" t="str">
        <x:v>Argentina</x:v>
      </x:c>
      <x:c r="G186" s="20" t="n">
        <x:v>73</x:v>
      </x:c>
      <x:c r="H186" t="str">
        <x:v>Pão de Açúcar</x:v>
      </x:c>
    </x:row>
    <x:row r="187">
      <x:c r="A187" s="18" t="n">
        <x:v>45992</x:v>
      </x:c>
      <x:c r="B187" t="n">
        <x:v>2025</x:v>
      </x:c>
      <x:c r="C187" t="n">
        <x:v>12</x:v>
      </x:c>
      <x:c r="D187" t="str">
        <x:v>Dez</x:v>
      </x:c>
      <x:c r="E187" t="str">
        <x:v>BR</x:v>
      </x:c>
      <x:c r="F187" t="str">
        <x:v>Brasil</x:v>
      </x:c>
      <x:c r="G187" s="20" t="n">
        <x:v>78</x:v>
      </x:c>
      <x:c r="H187" t="str">
        <x:v>Pão de Açúcar</x:v>
      </x:c>
    </x:row>
    <x:row r="188">
      <x:c r="A188" s="18" t="n">
        <x:v>45992</x:v>
      </x:c>
      <x:c r="B188" t="n">
        <x:v>2025</x:v>
      </x:c>
      <x:c r="C188" t="n">
        <x:v>12</x:v>
      </x:c>
      <x:c r="D188" t="str">
        <x:v>Dez</x:v>
      </x:c>
      <x:c r="E188" t="str">
        <x:v>CL</x:v>
      </x:c>
      <x:c r="F188" t="str">
        <x:v>Chile</x:v>
      </x:c>
      <x:c r="G188" s="20" t="n">
        <x:v>49</x:v>
      </x:c>
      <x:c r="H188" t="str">
        <x:v>Pão de Açúcar</x:v>
      </x:c>
    </x:row>
    <x:row r="189">
      <x:c r="A189" s="18" t="n">
        <x:v>45992</x:v>
      </x:c>
      <x:c r="B189" t="n">
        <x:v>2025</x:v>
      </x:c>
      <x:c r="C189" t="n">
        <x:v>12</x:v>
      </x:c>
      <x:c r="D189" t="str">
        <x:v>Dez</x:v>
      </x:c>
      <x:c r="E189" t="str">
        <x:v>CO</x:v>
      </x:c>
      <x:c r="F189" t="str">
        <x:v>Colômbia</x:v>
      </x:c>
      <x:c r="G189" s="20" t="n">
        <x:v>77</x:v>
      </x:c>
      <x:c r="H189" t="str">
        <x:v>Pão de Açúcar</x:v>
      </x:c>
    </x:row>
    <x:row r="190">
      <x:c r="A190" s="18" t="n">
        <x:v>45992</x:v>
      </x:c>
      <x:c r="B190" t="n">
        <x:v>2025</x:v>
      </x:c>
      <x:c r="C190" t="n">
        <x:v>12</x:v>
      </x:c>
      <x:c r="D190" t="str">
        <x:v>Dez</x:v>
      </x:c>
      <x:c r="E190" t="str">
        <x:v>FR</x:v>
      </x:c>
      <x:c r="F190" t="str">
        <x:v>França</x:v>
      </x:c>
      <x:c r="G190" s="20" t="n">
        <x:v>64</x:v>
      </x:c>
      <x:c r="H190" t="str">
        <x:v>Pão de Açúcar</x:v>
      </x:c>
    </x:row>
    <x:row r="191">
      <x:c r="A191" s="18" t="n">
        <x:v>45992</x:v>
      </x:c>
      <x:c r="B191" t="n">
        <x:v>2025</x:v>
      </x:c>
      <x:c r="C191" t="n">
        <x:v>12</x:v>
      </x:c>
      <x:c r="D191" t="str">
        <x:v>Dez</x:v>
      </x:c>
      <x:c r="E191" t="str">
        <x:v>US</x:v>
      </x:c>
      <x:c r="F191" t="str">
        <x:v>Estados Unidos</x:v>
      </x:c>
      <x:c r="G191" s="20" t="n">
        <x:v>79</x:v>
      </x:c>
      <x:c r="H191" t="str">
        <x:v>Pão de Açúcar</x:v>
      </x:c>
    </x:row>
    <x:row r="192">
      <x:c r="A192" s="18" t="n">
        <x:v>45992</x:v>
      </x:c>
      <x:c r="B192" t="n">
        <x:v>2025</x:v>
      </x:c>
      <x:c r="C192" t="n">
        <x:v>12</x:v>
      </x:c>
      <x:c r="D192" t="str">
        <x:v>Dez</x:v>
      </x:c>
      <x:c r="E192" t="str">
        <x:v>UY</x:v>
      </x:c>
      <x:c r="F192" t="str">
        <x:v>Uruguai</x:v>
      </x:c>
      <x:c r="G192" s="20" t="n">
        <x:v>68</x:v>
      </x:c>
      <x:c r="H192" t="str">
        <x:v>Pão de Açúcar</x:v>
      </x:c>
    </x:row>
    <x:row r="193">
      <x:c r="A193" s="18" t="n">
        <x:v>45992</x:v>
      </x:c>
      <x:c r="B193" t="n">
        <x:v>2025</x:v>
      </x:c>
      <x:c r="C193" t="n">
        <x:v>12</x:v>
      </x:c>
      <x:c r="D193" t="str">
        <x:v>Dez</x:v>
      </x:c>
      <x:c r="E193" t="str">
        <x:v>WORLD</x:v>
      </x:c>
      <x:c r="F193" t="str">
        <x:v>Mundo</x:v>
      </x:c>
      <x:c r="G193" s="20" t="n">
        <x:v>79</x:v>
      </x:c>
      <x:c r="H193" t="str">
        <x:v>Pão de Açúcar</x:v>
      </x:c>
    </x:row>
    <x:row r="194">
      <x:c r="A194" s="18" t="n">
        <x:v>46023</x:v>
      </x:c>
      <x:c r="B194" t="n">
        <x:v>2026</x:v>
      </x:c>
      <x:c r="C194" t="n">
        <x:v>1</x:v>
      </x:c>
      <x:c r="D194" t="str">
        <x:v>Jan</x:v>
      </x:c>
      <x:c r="E194" t="str">
        <x:v>AR</x:v>
      </x:c>
      <x:c r="F194" t="str">
        <x:v>Argentina</x:v>
      </x:c>
      <x:c r="G194" s="20" t="n">
        <x:v>100</x:v>
      </x:c>
      <x:c r="H194" t="str">
        <x:v>Pão de Açúcar</x:v>
      </x:c>
    </x:row>
    <x:row r="195">
      <x:c r="A195" s="18" t="n">
        <x:v>46023</x:v>
      </x:c>
      <x:c r="B195" t="n">
        <x:v>2026</x:v>
      </x:c>
      <x:c r="C195" t="n">
        <x:v>1</x:v>
      </x:c>
      <x:c r="D195" t="str">
        <x:v>Jan</x:v>
      </x:c>
      <x:c r="E195" t="str">
        <x:v>BR</x:v>
      </x:c>
      <x:c r="F195" t="str">
        <x:v>Brasil</x:v>
      </x:c>
      <x:c r="G195" s="20" t="n">
        <x:v>84</x:v>
      </x:c>
      <x:c r="H195" t="str">
        <x:v>Pão de Açúcar</x:v>
      </x:c>
    </x:row>
    <x:row r="196">
      <x:c r="A196" s="18" t="n">
        <x:v>46023</x:v>
      </x:c>
      <x:c r="B196" t="n">
        <x:v>2026</x:v>
      </x:c>
      <x:c r="C196" t="n">
        <x:v>1</x:v>
      </x:c>
      <x:c r="D196" t="str">
        <x:v>Jan</x:v>
      </x:c>
      <x:c r="E196" t="str">
        <x:v>CL</x:v>
      </x:c>
      <x:c r="F196" t="str">
        <x:v>Chile</x:v>
      </x:c>
      <x:c r="G196" s="20" t="n">
        <x:v>81</x:v>
      </x:c>
      <x:c r="H196" t="str">
        <x:v>Pão de Açúcar</x:v>
      </x:c>
    </x:row>
    <x:row r="197">
      <x:c r="A197" s="18" t="n">
        <x:v>46023</x:v>
      </x:c>
      <x:c r="B197" t="n">
        <x:v>2026</x:v>
      </x:c>
      <x:c r="C197" t="n">
        <x:v>1</x:v>
      </x:c>
      <x:c r="D197" t="str">
        <x:v>Jan</x:v>
      </x:c>
      <x:c r="E197" t="str">
        <x:v>CO</x:v>
      </x:c>
      <x:c r="F197" t="str">
        <x:v>Colômbia</x:v>
      </x:c>
      <x:c r="G197" s="20" t="n">
        <x:v>100</x:v>
      </x:c>
      <x:c r="H197" t="str">
        <x:v>Pão de Açúcar</x:v>
      </x:c>
    </x:row>
    <x:row r="198">
      <x:c r="A198" s="18" t="n">
        <x:v>46023</x:v>
      </x:c>
      <x:c r="B198" t="n">
        <x:v>2026</x:v>
      </x:c>
      <x:c r="C198" t="n">
        <x:v>1</x:v>
      </x:c>
      <x:c r="D198" t="str">
        <x:v>Jan</x:v>
      </x:c>
      <x:c r="E198" t="str">
        <x:v>FR</x:v>
      </x:c>
      <x:c r="F198" t="str">
        <x:v>França</x:v>
      </x:c>
      <x:c r="G198" s="20" t="n">
        <x:v>73</x:v>
      </x:c>
      <x:c r="H198" t="str">
        <x:v>Pão de Açúcar</x:v>
      </x:c>
    </x:row>
    <x:row r="199">
      <x:c r="A199" s="18" t="n">
        <x:v>46023</x:v>
      </x:c>
      <x:c r="B199" t="n">
        <x:v>2026</x:v>
      </x:c>
      <x:c r="C199" t="n">
        <x:v>1</x:v>
      </x:c>
      <x:c r="D199" t="str">
        <x:v>Jan</x:v>
      </x:c>
      <x:c r="E199" t="str">
        <x:v>US</x:v>
      </x:c>
      <x:c r="F199" t="str">
        <x:v>Estados Unidos</x:v>
      </x:c>
      <x:c r="G199" s="20" t="n">
        <x:v>86</x:v>
      </x:c>
      <x:c r="H199" t="str">
        <x:v>Pão de Açúcar</x:v>
      </x:c>
    </x:row>
    <x:row r="200">
      <x:c r="A200" s="18" t="n">
        <x:v>46023</x:v>
      </x:c>
      <x:c r="B200" t="n">
        <x:v>2026</x:v>
      </x:c>
      <x:c r="C200" t="n">
        <x:v>1</x:v>
      </x:c>
      <x:c r="D200" t="str">
        <x:v>Jan</x:v>
      </x:c>
      <x:c r="E200" t="str">
        <x:v>UY</x:v>
      </x:c>
      <x:c r="F200" t="str">
        <x:v>Uruguai</x:v>
      </x:c>
      <x:c r="G200" s="20" t="n">
        <x:v>97</x:v>
      </x:c>
      <x:c r="H200" t="str">
        <x:v>Pão de Açúcar</x:v>
      </x:c>
    </x:row>
    <x:row r="201">
      <x:c r="A201" s="18" t="n">
        <x:v>46023</x:v>
      </x:c>
      <x:c r="B201" t="n">
        <x:v>2026</x:v>
      </x:c>
      <x:c r="C201" t="n">
        <x:v>1</x:v>
      </x:c>
      <x:c r="D201" t="str">
        <x:v>Jan</x:v>
      </x:c>
      <x:c r="E201" t="str">
        <x:v>WORLD</x:v>
      </x:c>
      <x:c r="F201" t="str">
        <x:v>Mundo</x:v>
      </x:c>
      <x:c r="G201" s="20" t="n">
        <x:v>100</x:v>
      </x:c>
      <x:c r="H201" t="str">
        <x:v>Pão de Açúcar</x:v>
      </x:c>
    </x:row>
    <x:row r="202">
      <x:c r="A202" s="18" t="n">
        <x:v>46054</x:v>
      </x:c>
      <x:c r="B202" t="n">
        <x:v>2026</x:v>
      </x:c>
      <x:c r="C202" t="n">
        <x:v>2</x:v>
      </x:c>
      <x:c r="D202" t="str">
        <x:v>Fev</x:v>
      </x:c>
      <x:c r="E202" t="str">
        <x:v>AR</x:v>
      </x:c>
      <x:c r="F202" t="str">
        <x:v>Argentina</x:v>
      </x:c>
      <x:c r="G202" s="20" t="n">
        <x:v>77</x:v>
      </x:c>
      <x:c r="H202" t="str">
        <x:v>Pão de Açúcar</x:v>
      </x:c>
    </x:row>
    <x:row r="203">
      <x:c r="A203" s="18" t="n">
        <x:v>46054</x:v>
      </x:c>
      <x:c r="B203" t="n">
        <x:v>2026</x:v>
      </x:c>
      <x:c r="C203" t="n">
        <x:v>2</x:v>
      </x:c>
      <x:c r="D203" t="str">
        <x:v>Fev</x:v>
      </x:c>
      <x:c r="E203" t="str">
        <x:v>BR</x:v>
      </x:c>
      <x:c r="F203" t="str">
        <x:v>Brasil</x:v>
      </x:c>
      <x:c r="G203" s="20" t="n">
        <x:v>100</x:v>
      </x:c>
      <x:c r="H203" t="str">
        <x:v>Pão de Açúcar</x:v>
      </x:c>
    </x:row>
    <x:row r="204">
      <x:c r="A204" s="18" t="n">
        <x:v>46054</x:v>
      </x:c>
      <x:c r="B204" t="n">
        <x:v>2026</x:v>
      </x:c>
      <x:c r="C204" t="n">
        <x:v>2</x:v>
      </x:c>
      <x:c r="D204" t="str">
        <x:v>Fev</x:v>
      </x:c>
      <x:c r="E204" t="str">
        <x:v>CL</x:v>
      </x:c>
      <x:c r="F204" t="str">
        <x:v>Chile</x:v>
      </x:c>
      <x:c r="G204" s="20" t="n">
        <x:v>62</x:v>
      </x:c>
      <x:c r="H204" t="str">
        <x:v>Pão de Açúcar</x:v>
      </x:c>
    </x:row>
    <x:row r="205">
      <x:c r="A205" s="18" t="n">
        <x:v>46054</x:v>
      </x:c>
      <x:c r="B205" t="n">
        <x:v>2026</x:v>
      </x:c>
      <x:c r="C205" t="n">
        <x:v>2</x:v>
      </x:c>
      <x:c r="D205" t="str">
        <x:v>Fev</x:v>
      </x:c>
      <x:c r="E205" t="str">
        <x:v>CO</x:v>
      </x:c>
      <x:c r="F205" t="str">
        <x:v>Colômbia</x:v>
      </x:c>
      <x:c r="G205" s="20" t="n">
        <x:v>75</x:v>
      </x:c>
      <x:c r="H205" t="str">
        <x:v>Pão de Açúcar</x:v>
      </x:c>
    </x:row>
    <x:row r="206">
      <x:c r="A206" s="18" t="n">
        <x:v>46054</x:v>
      </x:c>
      <x:c r="B206" t="n">
        <x:v>2026</x:v>
      </x:c>
      <x:c r="C206" t="n">
        <x:v>2</x:v>
      </x:c>
      <x:c r="D206" t="str">
        <x:v>Fev</x:v>
      </x:c>
      <x:c r="E206" t="str">
        <x:v>FR</x:v>
      </x:c>
      <x:c r="F206" t="str">
        <x:v>França</x:v>
      </x:c>
      <x:c r="G206" s="20" t="n">
        <x:v>100</x:v>
      </x:c>
      <x:c r="H206" t="str">
        <x:v>Pão de Açúcar</x:v>
      </x:c>
    </x:row>
    <x:row r="207">
      <x:c r="A207" s="18" t="n">
        <x:v>46054</x:v>
      </x:c>
      <x:c r="B207" t="n">
        <x:v>2026</x:v>
      </x:c>
      <x:c r="C207" t="n">
        <x:v>2</x:v>
      </x:c>
      <x:c r="D207" t="str">
        <x:v>Fev</x:v>
      </x:c>
      <x:c r="E207" t="str">
        <x:v>US</x:v>
      </x:c>
      <x:c r="F207" t="str">
        <x:v>Estados Unidos</x:v>
      </x:c>
      <x:c r="G207" s="20" t="n">
        <x:v>100</x:v>
      </x:c>
      <x:c r="H207" t="str">
        <x:v>Pão de Açúcar</x:v>
      </x:c>
    </x:row>
    <x:row r="208">
      <x:c r="A208" s="18" t="n">
        <x:v>46054</x:v>
      </x:c>
      <x:c r="B208" t="n">
        <x:v>2026</x:v>
      </x:c>
      <x:c r="C208" t="n">
        <x:v>2</x:v>
      </x:c>
      <x:c r="D208" t="str">
        <x:v>Fev</x:v>
      </x:c>
      <x:c r="E208" t="str">
        <x:v>UY</x:v>
      </x:c>
      <x:c r="F208" t="str">
        <x:v>Uruguai</x:v>
      </x:c>
      <x:c r="G208" s="20" t="n">
        <x:v>44</x:v>
      </x:c>
      <x:c r="H208" t="str">
        <x:v>Pão de Açúcar</x:v>
      </x:c>
    </x:row>
    <x:row r="209">
      <x:c r="A209" s="18" t="n">
        <x:v>46054</x:v>
      </x:c>
      <x:c r="B209" t="n">
        <x:v>2026</x:v>
      </x:c>
      <x:c r="C209" t="n">
        <x:v>2</x:v>
      </x:c>
      <x:c r="D209" t="str">
        <x:v>Fev</x:v>
      </x:c>
      <x:c r="E209" t="str">
        <x:v>WORLD</x:v>
      </x:c>
      <x:c r="F209" t="str">
        <x:v>Mundo</x:v>
      </x:c>
      <x:c r="G209" s="20" t="n">
        <x:v>100</x:v>
      </x:c>
      <x:c r="H209" t="str">
        <x:v>Pão de Açúcar</x:v>
      </x:c>
    </x:row>
    <x:row r="210">
      <x:c r="A210" s="18" t="n">
        <x:v>46082</x:v>
      </x:c>
      <x:c r="B210" t="n">
        <x:v>2026</x:v>
      </x:c>
      <x:c r="C210" t="n">
        <x:v>3</x:v>
      </x:c>
      <x:c r="D210" t="str">
        <x:v>Mar</x:v>
      </x:c>
      <x:c r="E210" t="str">
        <x:v>AR</x:v>
      </x:c>
      <x:c r="F210" t="str">
        <x:v>Argentina</x:v>
      </x:c>
      <x:c r="G210" s="20" t="n">
        <x:v>69</x:v>
      </x:c>
      <x:c r="H210" t="str">
        <x:v>Pão de Açúcar</x:v>
      </x:c>
    </x:row>
    <x:row r="211">
      <x:c r="A211" s="18" t="n">
        <x:v>46082</x:v>
      </x:c>
      <x:c r="B211" t="n">
        <x:v>2026</x:v>
      </x:c>
      <x:c r="C211" t="n">
        <x:v>3</x:v>
      </x:c>
      <x:c r="D211" t="str">
        <x:v>Mar</x:v>
      </x:c>
      <x:c r="E211" t="str">
        <x:v>BR</x:v>
      </x:c>
      <x:c r="F211" t="str">
        <x:v>Brasil</x:v>
      </x:c>
      <x:c r="G211" s="20" t="n">
        <x:v>90</x:v>
      </x:c>
      <x:c r="H211" t="str">
        <x:v>Pão de Açúcar</x:v>
      </x:c>
    </x:row>
    <x:row r="212">
      <x:c r="A212" s="18" t="n">
        <x:v>46082</x:v>
      </x:c>
      <x:c r="B212" t="n">
        <x:v>2026</x:v>
      </x:c>
      <x:c r="C212" t="n">
        <x:v>3</x:v>
      </x:c>
      <x:c r="D212" t="str">
        <x:v>Mar</x:v>
      </x:c>
      <x:c r="E212" t="str">
        <x:v>CL</x:v>
      </x:c>
      <x:c r="F212" t="str">
        <x:v>Chile</x:v>
      </x:c>
      <x:c r="G212" s="20" t="n">
        <x:v>44</x:v>
      </x:c>
      <x:c r="H212" t="str">
        <x:v>Pão de Açúcar</x:v>
      </x:c>
    </x:row>
    <x:row r="213">
      <x:c r="A213" s="18" t="n">
        <x:v>46082</x:v>
      </x:c>
      <x:c r="B213" t="n">
        <x:v>2026</x:v>
      </x:c>
      <x:c r="C213" t="n">
        <x:v>3</x:v>
      </x:c>
      <x:c r="D213" t="str">
        <x:v>Mar</x:v>
      </x:c>
      <x:c r="E213" t="str">
        <x:v>CO</x:v>
      </x:c>
      <x:c r="F213" t="str">
        <x:v>Colômbia</x:v>
      </x:c>
      <x:c r="G213" s="20" t="n">
        <x:v>82</x:v>
      </x:c>
      <x:c r="H213" t="str">
        <x:v>Pão de Açúcar</x:v>
      </x:c>
    </x:row>
    <x:row r="214">
      <x:c r="A214" s="18" t="n">
        <x:v>46082</x:v>
      </x:c>
      <x:c r="B214" t="n">
        <x:v>2026</x:v>
      </x:c>
      <x:c r="C214" t="n">
        <x:v>3</x:v>
      </x:c>
      <x:c r="D214" t="str">
        <x:v>Mar</x:v>
      </x:c>
      <x:c r="E214" t="str">
        <x:v>FR</x:v>
      </x:c>
      <x:c r="F214" t="str">
        <x:v>França</x:v>
      </x:c>
      <x:c r="G214" s="20" t="n">
        <x:v>45</x:v>
      </x:c>
      <x:c r="H214" t="str">
        <x:v>Pão de Açúcar</x:v>
      </x:c>
    </x:row>
    <x:row r="215">
      <x:c r="A215" s="18" t="n">
        <x:v>46082</x:v>
      </x:c>
      <x:c r="B215" t="n">
        <x:v>2026</x:v>
      </x:c>
      <x:c r="C215" t="n">
        <x:v>3</x:v>
      </x:c>
      <x:c r="D215" t="str">
        <x:v>Mar</x:v>
      </x:c>
      <x:c r="E215" t="str">
        <x:v>US</x:v>
      </x:c>
      <x:c r="F215" t="str">
        <x:v>Estados Unidos</x:v>
      </x:c>
      <x:c r="G215" s="20" t="n">
        <x:v>97</x:v>
      </x:c>
      <x:c r="H215" t="str">
        <x:v>Pão de Açúcar</x:v>
      </x:c>
    </x:row>
    <x:row r="216">
      <x:c r="A216" s="18" t="n">
        <x:v>46082</x:v>
      </x:c>
      <x:c r="B216" t="n">
        <x:v>2026</x:v>
      </x:c>
      <x:c r="C216" t="n">
        <x:v>3</x:v>
      </x:c>
      <x:c r="D216" t="str">
        <x:v>Mar</x:v>
      </x:c>
      <x:c r="E216" t="str">
        <x:v>UY</x:v>
      </x:c>
      <x:c r="F216" t="str">
        <x:v>Uruguai</x:v>
      </x:c>
      <x:c r="G216" s="20" t="n">
        <x:v>51</x:v>
      </x:c>
      <x:c r="H216" t="str">
        <x:v>Pão de Açúcar</x:v>
      </x:c>
    </x:row>
    <x:row r="217">
      <x:c r="A217" s="18" t="n">
        <x:v>46082</x:v>
      </x:c>
      <x:c r="B217" t="n">
        <x:v>2026</x:v>
      </x:c>
      <x:c r="C217" t="n">
        <x:v>3</x:v>
      </x:c>
      <x:c r="D217" t="str">
        <x:v>Mar</x:v>
      </x:c>
      <x:c r="E217" t="str">
        <x:v>WORLD</x:v>
      </x:c>
      <x:c r="F217" t="str">
        <x:v>Mundo</x:v>
      </x:c>
      <x:c r="G217" s="20" t="n">
        <x:v>93</x:v>
      </x:c>
      <x:c r="H217" t="str">
        <x:v>Pão de Açúcar</x:v>
      </x:c>
    </x:row>
    <x:row r="218">
      <x:c r="A218" s="18" t="n">
        <x:v>46113</x:v>
      </x:c>
      <x:c r="B218" t="n">
        <x:v>2026</x:v>
      </x:c>
      <x:c r="C218" t="n">
        <x:v>4</x:v>
      </x:c>
      <x:c r="D218" t="str">
        <x:v>Abr</x:v>
      </x:c>
      <x:c r="E218" t="str">
        <x:v>AR</x:v>
      </x:c>
      <x:c r="F218" t="str">
        <x:v>Argentina</x:v>
      </x:c>
      <x:c r="G218" s="20" t="n">
        <x:v>35</x:v>
      </x:c>
      <x:c r="H218" t="str">
        <x:v>Pão de Açúcar</x:v>
      </x:c>
    </x:row>
    <x:row r="219">
      <x:c r="A219" s="18" t="n">
        <x:v>46113</x:v>
      </x:c>
      <x:c r="B219" t="n">
        <x:v>2026</x:v>
      </x:c>
      <x:c r="C219" t="n">
        <x:v>4</x:v>
      </x:c>
      <x:c r="D219" t="str">
        <x:v>Abr</x:v>
      </x:c>
      <x:c r="E219" t="str">
        <x:v>BR</x:v>
      </x:c>
      <x:c r="F219" t="str">
        <x:v>Brasil</x:v>
      </x:c>
      <x:c r="G219" s="20" t="n">
        <x:v>82</x:v>
      </x:c>
      <x:c r="H219" t="str">
        <x:v>Pão de Açúcar</x:v>
      </x:c>
    </x:row>
    <x:row r="220">
      <x:c r="A220" s="18" t="n">
        <x:v>46113</x:v>
      </x:c>
      <x:c r="B220" t="n">
        <x:v>2026</x:v>
      </x:c>
      <x:c r="C220" t="n">
        <x:v>4</x:v>
      </x:c>
      <x:c r="D220" t="str">
        <x:v>Abr</x:v>
      </x:c>
      <x:c r="E220" t="str">
        <x:v>CL</x:v>
      </x:c>
      <x:c r="F220" t="str">
        <x:v>Chile</x:v>
      </x:c>
      <x:c r="G220" s="20" t="n">
        <x:v>35</x:v>
      </x:c>
      <x:c r="H220" t="str">
        <x:v>Pão de Açúcar</x:v>
      </x:c>
    </x:row>
    <x:row r="221">
      <x:c r="A221" s="18" t="n">
        <x:v>46113</x:v>
      </x:c>
      <x:c r="B221" t="n">
        <x:v>2026</x:v>
      </x:c>
      <x:c r="C221" t="n">
        <x:v>4</x:v>
      </x:c>
      <x:c r="D221" t="str">
        <x:v>Abr</x:v>
      </x:c>
      <x:c r="E221" t="str">
        <x:v>CO</x:v>
      </x:c>
      <x:c r="F221" t="str">
        <x:v>Colômbia</x:v>
      </x:c>
      <x:c r="G221" s="20" t="n">
        <x:v>78</x:v>
      </x:c>
      <x:c r="H221" t="str">
        <x:v>Pão de Açúcar</x:v>
      </x:c>
    </x:row>
    <x:row r="222">
      <x:c r="A222" s="18" t="n">
        <x:v>46113</x:v>
      </x:c>
      <x:c r="B222" t="n">
        <x:v>2026</x:v>
      </x:c>
      <x:c r="C222" t="n">
        <x:v>4</x:v>
      </x:c>
      <x:c r="D222" t="str">
        <x:v>Abr</x:v>
      </x:c>
      <x:c r="E222" t="str">
        <x:v>FR</x:v>
      </x:c>
      <x:c r="F222" t="str">
        <x:v>França</x:v>
      </x:c>
      <x:c r="G222" s="20" t="n">
        <x:v>58</x:v>
      </x:c>
      <x:c r="H222" t="str">
        <x:v>Pão de Açúcar</x:v>
      </x:c>
    </x:row>
    <x:row r="223">
      <x:c r="A223" s="18" t="n">
        <x:v>46113</x:v>
      </x:c>
      <x:c r="B223" t="n">
        <x:v>2026</x:v>
      </x:c>
      <x:c r="C223" t="n">
        <x:v>4</x:v>
      </x:c>
      <x:c r="D223" t="str">
        <x:v>Abr</x:v>
      </x:c>
      <x:c r="E223" t="str">
        <x:v>US</x:v>
      </x:c>
      <x:c r="F223" t="str">
        <x:v>Estados Unidos</x:v>
      </x:c>
      <x:c r="G223" s="20" t="n">
        <x:v>73</x:v>
      </x:c>
      <x:c r="H223" t="str">
        <x:v>Pão de Açúcar</x:v>
      </x:c>
    </x:row>
    <x:row r="224">
      <x:c r="A224" s="18" t="n">
        <x:v>46113</x:v>
      </x:c>
      <x:c r="B224" t="n">
        <x:v>2026</x:v>
      </x:c>
      <x:c r="C224" t="n">
        <x:v>4</x:v>
      </x:c>
      <x:c r="D224" t="str">
        <x:v>Abr</x:v>
      </x:c>
      <x:c r="E224" t="str">
        <x:v>UY</x:v>
      </x:c>
      <x:c r="F224" t="str">
        <x:v>Uruguai</x:v>
      </x:c>
      <x:c r="G224" s="20" t="n">
        <x:v>43</x:v>
      </x:c>
      <x:c r="H224" t="str">
        <x:v>Pão de Açúcar</x:v>
      </x:c>
    </x:row>
    <x:row r="225">
      <x:c r="A225" s="18" t="n">
        <x:v>46113</x:v>
      </x:c>
      <x:c r="B225" t="n">
        <x:v>2026</x:v>
      </x:c>
      <x:c r="C225" t="n">
        <x:v>4</x:v>
      </x:c>
      <x:c r="D225" t="str">
        <x:v>Abr</x:v>
      </x:c>
      <x:c r="E225" t="str">
        <x:v>WORLD</x:v>
      </x:c>
      <x:c r="F225" t="str">
        <x:v>Mundo</x:v>
      </x:c>
      <x:c r="G225" s="20" t="n">
        <x:v>75</x:v>
      </x:c>
      <x:c r="H225" t="str">
        <x:v>Pão de Açúcar</x:v>
      </x:c>
    </x:row>
    <x:row r="226">
      <x:c r="A226" s="18" t="n">
        <x:v>46143</x:v>
      </x:c>
      <x:c r="B226" t="n">
        <x:v>2026</x:v>
      </x:c>
      <x:c r="C226" t="n">
        <x:v>5</x:v>
      </x:c>
      <x:c r="D226" t="str">
        <x:v>Mai</x:v>
      </x:c>
      <x:c r="E226" t="str">
        <x:v>AR</x:v>
      </x:c>
      <x:c r="F226" t="str">
        <x:v>Argentina</x:v>
      </x:c>
      <x:c r="G226" s="20" t="n">
        <x:v>40</x:v>
      </x:c>
      <x:c r="H226" t="str">
        <x:v>Pão de Açúcar</x:v>
      </x:c>
    </x:row>
    <x:row r="227">
      <x:c r="A227" s="18" t="n">
        <x:v>46143</x:v>
      </x:c>
      <x:c r="B227" t="n">
        <x:v>2026</x:v>
      </x:c>
      <x:c r="C227" t="n">
        <x:v>5</x:v>
      </x:c>
      <x:c r="D227" t="str">
        <x:v>Mai</x:v>
      </x:c>
      <x:c r="E227" t="str">
        <x:v>BR</x:v>
      </x:c>
      <x:c r="F227" t="str">
        <x:v>Brasil</x:v>
      </x:c>
      <x:c r="G227" s="20" t="n">
        <x:v>71</x:v>
      </x:c>
      <x:c r="H227" t="str">
        <x:v>Pão de Açúcar</x:v>
      </x:c>
    </x:row>
    <x:row r="228">
      <x:c r="A228" s="18" t="n">
        <x:v>46143</x:v>
      </x:c>
      <x:c r="B228" t="n">
        <x:v>2026</x:v>
      </x:c>
      <x:c r="C228" t="n">
        <x:v>5</x:v>
      </x:c>
      <x:c r="D228" t="str">
        <x:v>Mai</x:v>
      </x:c>
      <x:c r="E228" t="str">
        <x:v>CL</x:v>
      </x:c>
      <x:c r="F228" t="str">
        <x:v>Chile</x:v>
      </x:c>
      <x:c r="G228" s="20" t="n">
        <x:v>37</x:v>
      </x:c>
      <x:c r="H228" t="str">
        <x:v>Pão de Açúcar</x:v>
      </x:c>
    </x:row>
    <x:row r="229">
      <x:c r="A229" s="18" t="n">
        <x:v>46143</x:v>
      </x:c>
      <x:c r="B229" t="n">
        <x:v>2026</x:v>
      </x:c>
      <x:c r="C229" t="n">
        <x:v>5</x:v>
      </x:c>
      <x:c r="D229" t="str">
        <x:v>Mai</x:v>
      </x:c>
      <x:c r="E229" t="str">
        <x:v>CO</x:v>
      </x:c>
      <x:c r="F229" t="str">
        <x:v>Colômbia</x:v>
      </x:c>
      <x:c r="G229" s="20" t="n">
        <x:v>81</x:v>
      </x:c>
      <x:c r="H229" t="str">
        <x:v>Pão de Açúcar</x:v>
      </x:c>
    </x:row>
    <x:row r="230">
      <x:c r="A230" s="18" t="n">
        <x:v>46143</x:v>
      </x:c>
      <x:c r="B230" t="n">
        <x:v>2026</x:v>
      </x:c>
      <x:c r="C230" t="n">
        <x:v>5</x:v>
      </x:c>
      <x:c r="D230" t="str">
        <x:v>Mai</x:v>
      </x:c>
      <x:c r="E230" t="str">
        <x:v>FR</x:v>
      </x:c>
      <x:c r="F230" t="str">
        <x:v>França</x:v>
      </x:c>
      <x:c r="G230" s="20" t="n">
        <x:v>64</x:v>
      </x:c>
      <x:c r="H230" t="str">
        <x:v>Pão de Açúcar</x:v>
      </x:c>
    </x:row>
    <x:row r="231">
      <x:c r="A231" s="18" t="n">
        <x:v>46143</x:v>
      </x:c>
      <x:c r="B231" t="n">
        <x:v>2026</x:v>
      </x:c>
      <x:c r="C231" t="n">
        <x:v>5</x:v>
      </x:c>
      <x:c r="D231" t="str">
        <x:v>Mai</x:v>
      </x:c>
      <x:c r="E231" t="str">
        <x:v>US</x:v>
      </x:c>
      <x:c r="F231" t="str">
        <x:v>Estados Unidos</x:v>
      </x:c>
      <x:c r="G231" s="20" t="n">
        <x:v>79</x:v>
      </x:c>
      <x:c r="H231" t="str">
        <x:v>Pão de Açúcar</x:v>
      </x:c>
    </x:row>
    <x:row r="232">
      <x:c r="A232" s="18" t="n">
        <x:v>46143</x:v>
      </x:c>
      <x:c r="B232" t="n">
        <x:v>2026</x:v>
      </x:c>
      <x:c r="C232" t="n">
        <x:v>5</x:v>
      </x:c>
      <x:c r="D232" t="str">
        <x:v>Mai</x:v>
      </x:c>
      <x:c r="E232" t="str">
        <x:v>UY</x:v>
      </x:c>
      <x:c r="F232" t="str">
        <x:v>Uruguai</x:v>
      </x:c>
      <x:c r="G232" s="20" t="n">
        <x:v>45</x:v>
      </x:c>
      <x:c r="H232" t="str">
        <x:v>Pão de Açúcar</x:v>
      </x:c>
    </x:row>
    <x:row r="233">
      <x:c r="A233" s="18" t="n">
        <x:v>46143</x:v>
      </x:c>
      <x:c r="B233" t="n">
        <x:v>2026</x:v>
      </x:c>
      <x:c r="C233" t="n">
        <x:v>5</x:v>
      </x:c>
      <x:c r="D233" t="str">
        <x:v>Mai</x:v>
      </x:c>
      <x:c r="E233" t="str">
        <x:v>WORLD</x:v>
      </x:c>
      <x:c r="F233" t="str">
        <x:v>Mundo</x:v>
      </x:c>
      <x:c r="G233" s="20" t="n">
        <x:v>64</x:v>
      </x:c>
      <x:c r="H233" t="str">
        <x:v>Pão de Açúcar</x:v>
      </x:c>
    </x:row>
    <x:row r="234">
      <x:c r="A234" s="18" t="n">
        <x:v>46174</x:v>
      </x:c>
      <x:c r="B234" t="n">
        <x:v>2026</x:v>
      </x:c>
      <x:c r="C234" t="n">
        <x:v>6</x:v>
      </x:c>
      <x:c r="D234" t="str">
        <x:v>Jun</x:v>
      </x:c>
      <x:c r="E234" t="str">
        <x:v>AR</x:v>
      </x:c>
      <x:c r="F234" t="str">
        <x:v>Argentina</x:v>
      </x:c>
      <x:c r="G234" s="20" t="n">
        <x:v>25</x:v>
      </x:c>
      <x:c r="H234" t="str">
        <x:v>Pão de Açúcar</x:v>
      </x:c>
    </x:row>
    <x:row r="235">
      <x:c r="A235" s="18" t="n">
        <x:v>46174</x:v>
      </x:c>
      <x:c r="B235" t="n">
        <x:v>2026</x:v>
      </x:c>
      <x:c r="C235" t="n">
        <x:v>6</x:v>
      </x:c>
      <x:c r="D235" t="str">
        <x:v>Jun</x:v>
      </x:c>
      <x:c r="E235" t="str">
        <x:v>BR</x:v>
      </x:c>
      <x:c r="F235" t="str">
        <x:v>Brasil</x:v>
      </x:c>
      <x:c r="G235" s="20" t="n">
        <x:v>71</x:v>
      </x:c>
      <x:c r="H235" t="str">
        <x:v>Pão de Açúcar</x:v>
      </x:c>
    </x:row>
    <x:row r="236">
      <x:c r="A236" s="18" t="n">
        <x:v>46174</x:v>
      </x:c>
      <x:c r="B236" t="n">
        <x:v>2026</x:v>
      </x:c>
      <x:c r="C236" t="n">
        <x:v>6</x:v>
      </x:c>
      <x:c r="D236" t="str">
        <x:v>Jun</x:v>
      </x:c>
      <x:c r="E236" t="str">
        <x:v>CL</x:v>
      </x:c>
      <x:c r="F236" t="str">
        <x:v>Chile</x:v>
      </x:c>
      <x:c r="G236" s="20" t="n">
        <x:v>26</x:v>
      </x:c>
      <x:c r="H236" t="str">
        <x:v>Pão de Açúcar</x:v>
      </x:c>
    </x:row>
    <x:row r="237">
      <x:c r="A237" s="18" t="n">
        <x:v>46174</x:v>
      </x:c>
      <x:c r="B237" t="n">
        <x:v>2026</x:v>
      </x:c>
      <x:c r="C237" t="n">
        <x:v>6</x:v>
      </x:c>
      <x:c r="D237" t="str">
        <x:v>Jun</x:v>
      </x:c>
      <x:c r="E237" t="str">
        <x:v>CO</x:v>
      </x:c>
      <x:c r="F237" t="str">
        <x:v>Colômbia</x:v>
      </x:c>
      <x:c r="G237" s="20" t="n">
        <x:v>78</x:v>
      </x:c>
      <x:c r="H237" t="str">
        <x:v>Pão de Açúcar</x:v>
      </x:c>
    </x:row>
    <x:row r="238">
      <x:c r="A238" s="18" t="n">
        <x:v>46174</x:v>
      </x:c>
      <x:c r="B238" t="n">
        <x:v>2026</x:v>
      </x:c>
      <x:c r="C238" t="n">
        <x:v>6</x:v>
      </x:c>
      <x:c r="D238" t="str">
        <x:v>Jun</x:v>
      </x:c>
      <x:c r="E238" t="str">
        <x:v>FR</x:v>
      </x:c>
      <x:c r="F238" t="str">
        <x:v>França</x:v>
      </x:c>
      <x:c r="G238" s="20" t="n">
        <x:v>38</x:v>
      </x:c>
      <x:c r="H238" t="str">
        <x:v>Pão de Açúcar</x:v>
      </x:c>
    </x:row>
    <x:row r="239">
      <x:c r="A239" s="18" t="n">
        <x:v>46174</x:v>
      </x:c>
      <x:c r="B239" t="n">
        <x:v>2026</x:v>
      </x:c>
      <x:c r="C239" t="n">
        <x:v>6</x:v>
      </x:c>
      <x:c r="D239" t="str">
        <x:v>Jun</x:v>
      </x:c>
      <x:c r="E239" t="str">
        <x:v>US</x:v>
      </x:c>
      <x:c r="F239" t="str">
        <x:v>Estados Unidos</x:v>
      </x:c>
      <x:c r="G239" s="20" t="n">
        <x:v>71</x:v>
      </x:c>
      <x:c r="H239" t="str">
        <x:v>Pão de Açúcar</x:v>
      </x:c>
    </x:row>
    <x:row r="240">
      <x:c r="A240" s="18" t="n">
        <x:v>46174</x:v>
      </x:c>
      <x:c r="B240" t="n">
        <x:v>2026</x:v>
      </x:c>
      <x:c r="C240" t="n">
        <x:v>6</x:v>
      </x:c>
      <x:c r="D240" t="str">
        <x:v>Jun</x:v>
      </x:c>
      <x:c r="E240" t="str">
        <x:v>UY</x:v>
      </x:c>
      <x:c r="F240" t="str">
        <x:v>Uruguai</x:v>
      </x:c>
      <x:c r="G240" s="20" t="n">
        <x:v>36</x:v>
      </x:c>
      <x:c r="H240" t="str">
        <x:v>Pão de Açúcar</x:v>
      </x:c>
    </x:row>
    <x:row r="241">
      <x:c r="A241" s="18" t="n">
        <x:v>46174</x:v>
      </x:c>
      <x:c r="B241" t="n">
        <x:v>2026</x:v>
      </x:c>
      <x:c r="C241" t="n">
        <x:v>6</x:v>
      </x:c>
      <x:c r="D241" t="str">
        <x:v>Jun</x:v>
      </x:c>
      <x:c r="E241" t="str">
        <x:v>WORLD</x:v>
      </x:c>
      <x:c r="F241" t="str">
        <x:v>Mundo</x:v>
      </x:c>
      <x:c r="G241" s="20" t="n">
        <x:v>65</x:v>
      </x:c>
      <x:c r="H241" t="str">
        <x:v>Pão de Açúcar</x:v>
      </x:c>
    </x:row>
    <x:row r="242">
      <x:c r="A242" s="18" t="n">
        <x:v>46204</x:v>
      </x:c>
      <x:c r="B242" t="n">
        <x:v>2026</x:v>
      </x:c>
      <x:c r="C242" t="n">
        <x:v>7</x:v>
      </x:c>
      <x:c r="D242" t="str">
        <x:v>Jul</x:v>
      </x:c>
      <x:c r="E242" t="str">
        <x:v>AR</x:v>
      </x:c>
      <x:c r="F242" t="str">
        <x:v>Argentina</x:v>
      </x:c>
      <x:c r="G242" s="20" t="n">
        <x:v>33</x:v>
      </x:c>
      <x:c r="H242" t="str">
        <x:v>Pão de Açúcar</x:v>
      </x:c>
    </x:row>
    <x:row r="243">
      <x:c r="A243" s="18" t="n">
        <x:v>46204</x:v>
      </x:c>
      <x:c r="B243" t="n">
        <x:v>2026</x:v>
      </x:c>
      <x:c r="C243" t="n">
        <x:v>7</x:v>
      </x:c>
      <x:c r="D243" t="str">
        <x:v>Jul</x:v>
      </x:c>
      <x:c r="E243" t="str">
        <x:v>BR</x:v>
      </x:c>
      <x:c r="F243" t="str">
        <x:v>Brasil</x:v>
      </x:c>
      <x:c r="G243" s="20" t="n">
        <x:v>87</x:v>
      </x:c>
      <x:c r="H243" t="str">
        <x:v>Pão de Açúcar</x:v>
      </x:c>
    </x:row>
    <x:row r="244">
      <x:c r="A244" s="18" t="n">
        <x:v>46204</x:v>
      </x:c>
      <x:c r="B244" t="n">
        <x:v>2026</x:v>
      </x:c>
      <x:c r="C244" t="n">
        <x:v>7</x:v>
      </x:c>
      <x:c r="D244" t="str">
        <x:v>Jul</x:v>
      </x:c>
      <x:c r="E244" t="str">
        <x:v>CL</x:v>
      </x:c>
      <x:c r="F244" t="str">
        <x:v>Chile</x:v>
      </x:c>
      <x:c r="G244" s="20" t="n">
        <x:v>30</x:v>
      </x:c>
      <x:c r="H244" t="str">
        <x:v>Pão de Açúcar</x:v>
      </x:c>
    </x:row>
    <x:row r="245">
      <x:c r="A245" s="18" t="n">
        <x:v>46204</x:v>
      </x:c>
      <x:c r="B245" t="n">
        <x:v>2026</x:v>
      </x:c>
      <x:c r="C245" t="n">
        <x:v>7</x:v>
      </x:c>
      <x:c r="D245" t="str">
        <x:v>Jul</x:v>
      </x:c>
      <x:c r="E245" t="str">
        <x:v>CO</x:v>
      </x:c>
      <x:c r="F245" t="str">
        <x:v>Colômbia</x:v>
      </x:c>
      <x:c r="G245" s="20" t="n">
        <x:v>73</x:v>
      </x:c>
      <x:c r="H245" t="str">
        <x:v>Pão de Açúcar</x:v>
      </x:c>
    </x:row>
    <x:row r="246">
      <x:c r="A246" s="18" t="n">
        <x:v>46204</x:v>
      </x:c>
      <x:c r="B246" t="n">
        <x:v>2026</x:v>
      </x:c>
      <x:c r="C246" t="n">
        <x:v>7</x:v>
      </x:c>
      <x:c r="D246" t="str">
        <x:v>Jul</x:v>
      </x:c>
      <x:c r="E246" t="str">
        <x:v>FR</x:v>
      </x:c>
      <x:c r="F246" t="str">
        <x:v>França</x:v>
      </x:c>
      <x:c r="G246" s="20" t="n">
        <x:v>43</x:v>
      </x:c>
      <x:c r="H246" t="str">
        <x:v>Pão de Açúcar</x:v>
      </x:c>
    </x:row>
    <x:row r="247">
      <x:c r="A247" s="18" t="n">
        <x:v>46204</x:v>
      </x:c>
      <x:c r="B247" t="n">
        <x:v>2026</x:v>
      </x:c>
      <x:c r="C247" t="n">
        <x:v>7</x:v>
      </x:c>
      <x:c r="D247" t="str">
        <x:v>Jul</x:v>
      </x:c>
      <x:c r="E247" t="str">
        <x:v>US</x:v>
      </x:c>
      <x:c r="F247" t="str">
        <x:v>Estados Unidos</x:v>
      </x:c>
      <x:c r="G247" s="20" t="n">
        <x:v>59</x:v>
      </x:c>
      <x:c r="H247" t="str">
        <x:v>Pão de Açúcar</x:v>
      </x:c>
    </x:row>
    <x:row r="248">
      <x:c r="A248" s="18" t="n">
        <x:v>46204</x:v>
      </x:c>
      <x:c r="B248" t="n">
        <x:v>2026</x:v>
      </x:c>
      <x:c r="C248" t="n">
        <x:v>7</x:v>
      </x:c>
      <x:c r="D248" t="str">
        <x:v>Jul</x:v>
      </x:c>
      <x:c r="E248" t="str">
        <x:v>UY</x:v>
      </x:c>
      <x:c r="F248" t="str">
        <x:v>Uruguai</x:v>
      </x:c>
      <x:c r="G248" s="20" t="n">
        <x:v>46</x:v>
      </x:c>
      <x:c r="H248" t="str">
        <x:v>Pão de Açúcar</x:v>
      </x:c>
    </x:row>
    <x:row r="249">
      <x:c r="A249" s="18" t="n">
        <x:v>46204</x:v>
      </x:c>
      <x:c r="B249" t="n">
        <x:v>2026</x:v>
      </x:c>
      <x:c r="C249" t="n">
        <x:v>7</x:v>
      </x:c>
      <x:c r="D249" t="str">
        <x:v>Jul</x:v>
      </x:c>
      <x:c r="E249" t="str">
        <x:v>WORLD</x:v>
      </x:c>
      <x:c r="F249" t="str">
        <x:v>Mundo</x:v>
      </x:c>
      <x:c r="G249" s="20" t="n">
        <x:v>72</x:v>
      </x:c>
      <x:c r="H249" t="str">
        <x:v>Pão de Açúcar</x:v>
      </x:c>
    </x:row>
    <x:row r="250">
      <x:c r="A250" s="18" t="n">
        <x:v>46235</x:v>
      </x:c>
      <x:c r="B250" t="n">
        <x:v>2026</x:v>
      </x:c>
      <x:c r="C250" t="n">
        <x:v>8</x:v>
      </x:c>
      <x:c r="D250" t="str">
        <x:v>Ago</x:v>
      </x:c>
      <x:c r="E250" t="str">
        <x:v>AR</x:v>
      </x:c>
      <x:c r="F250" t="str">
        <x:v>Argentina</x:v>
      </x:c>
      <x:c r="G250" s="20" t="n">
        <x:v>43</x:v>
      </x:c>
      <x:c r="H250" t="str">
        <x:v>Pão de Açúcar</x:v>
      </x:c>
    </x:row>
    <x:row r="251">
      <x:c r="A251" s="18" t="n">
        <x:v>46235</x:v>
      </x:c>
      <x:c r="B251" t="n">
        <x:v>2026</x:v>
      </x:c>
      <x:c r="C251" t="n">
        <x:v>8</x:v>
      </x:c>
      <x:c r="D251" t="str">
        <x:v>Ago</x:v>
      </x:c>
      <x:c r="E251" t="str">
        <x:v>BR</x:v>
      </x:c>
      <x:c r="F251" t="str">
        <x:v>Brasil</x:v>
      </x:c>
      <x:c r="G251" s="20" t="n">
        <x:v>72</x:v>
      </x:c>
      <x:c r="H251" t="str">
        <x:v>Pão de Açúcar</x:v>
      </x:c>
    </x:row>
    <x:row r="252">
      <x:c r="A252" s="18" t="n">
        <x:v>46235</x:v>
      </x:c>
      <x:c r="B252" t="n">
        <x:v>2026</x:v>
      </x:c>
      <x:c r="C252" t="n">
        <x:v>8</x:v>
      </x:c>
      <x:c r="D252" t="str">
        <x:v>Ago</x:v>
      </x:c>
      <x:c r="E252" t="str">
        <x:v>CL</x:v>
      </x:c>
      <x:c r="F252" t="str">
        <x:v>Chile</x:v>
      </x:c>
      <x:c r="G252" s="20" t="n">
        <x:v>25</x:v>
      </x:c>
      <x:c r="H252" t="str">
        <x:v>Pão de Açúcar</x:v>
      </x:c>
    </x:row>
    <x:row r="253">
      <x:c r="A253" s="18" t="n">
        <x:v>46235</x:v>
      </x:c>
      <x:c r="B253" t="n">
        <x:v>2026</x:v>
      </x:c>
      <x:c r="C253" t="n">
        <x:v>8</x:v>
      </x:c>
      <x:c r="D253" t="str">
        <x:v>Ago</x:v>
      </x:c>
      <x:c r="E253" t="str">
        <x:v>CO</x:v>
      </x:c>
      <x:c r="F253" t="str">
        <x:v>Colômbia</x:v>
      </x:c>
      <x:c r="G253" s="20" t="n">
        <x:v>74</x:v>
      </x:c>
      <x:c r="H253" t="str">
        <x:v>Pão de Açúcar</x:v>
      </x:c>
    </x:row>
    <x:row r="254">
      <x:c r="A254" s="18" t="n">
        <x:v>46235</x:v>
      </x:c>
      <x:c r="B254" t="n">
        <x:v>2026</x:v>
      </x:c>
      <x:c r="C254" t="n">
        <x:v>8</x:v>
      </x:c>
      <x:c r="D254" t="str">
        <x:v>Ago</x:v>
      </x:c>
      <x:c r="E254" t="str">
        <x:v>FR</x:v>
      </x:c>
      <x:c r="F254" t="str">
        <x:v>França</x:v>
      </x:c>
      <x:c r="G254" s="20" t="n">
        <x:v>54</x:v>
      </x:c>
      <x:c r="H254" t="str">
        <x:v>Pão de Açúcar</x:v>
      </x:c>
    </x:row>
    <x:row r="255">
      <x:c r="A255" s="18" t="n">
        <x:v>46235</x:v>
      </x:c>
      <x:c r="B255" t="n">
        <x:v>2026</x:v>
      </x:c>
      <x:c r="C255" t="n">
        <x:v>8</x:v>
      </x:c>
      <x:c r="D255" t="str">
        <x:v>Ago</x:v>
      </x:c>
      <x:c r="E255" t="str">
        <x:v>US</x:v>
      </x:c>
      <x:c r="F255" t="str">
        <x:v>Estados Unidos</x:v>
      </x:c>
      <x:c r="G255" s="20" t="n">
        <x:v>50</x:v>
      </x:c>
      <x:c r="H255" t="str">
        <x:v>Pão de Açúcar</x:v>
      </x:c>
    </x:row>
    <x:row r="256">
      <x:c r="A256" s="18" t="n">
        <x:v>46235</x:v>
      </x:c>
      <x:c r="B256" t="n">
        <x:v>2026</x:v>
      </x:c>
      <x:c r="C256" t="n">
        <x:v>8</x:v>
      </x:c>
      <x:c r="D256" t="str">
        <x:v>Ago</x:v>
      </x:c>
      <x:c r="E256" t="str">
        <x:v>UY</x:v>
      </x:c>
      <x:c r="F256" t="str">
        <x:v>Uruguai</x:v>
      </x:c>
      <x:c r="G256" s="20" t="n">
        <x:v>38</x:v>
      </x:c>
      <x:c r="H256" t="str">
        <x:v>Pão de Açúcar</x:v>
      </x:c>
    </x:row>
    <x:row r="257">
      <x:c r="A257" s="18" t="n">
        <x:v>46235</x:v>
      </x:c>
      <x:c r="B257" t="n">
        <x:v>2026</x:v>
      </x:c>
      <x:c r="C257" t="n">
        <x:v>8</x:v>
      </x:c>
      <x:c r="D257" t="str">
        <x:v>Ago</x:v>
      </x:c>
      <x:c r="E257" t="str">
        <x:v>WORLD</x:v>
      </x:c>
      <x:c r="F257" t="str">
        <x:v>Mundo</x:v>
      </x:c>
      <x:c r="G257" s="20" t="n">
        <x:v>74</x:v>
      </x:c>
      <x:c r="H257" t="str">
        <x:v>Pão de Açúcar</x:v>
      </x:c>
    </x:row>
  </x:sheetData>
  <x:pageMargins left="0.7" right="0.7" top="0.75" bottom="0.75" header="0.3" footer="0.3"/>
  <x:tableParts count="1">
    <x:tablePart xmlns:r="http://schemas.openxmlformats.org/officeDocument/2006/relationships" r:id="R330126649a4643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8" hidden="0" customWidth="1"/>
    <x:col min="7" max="7" width="20" hidden="0" customWidth="1"/>
    <x:col min="8" max="8" width="15" hidden="0" customWidth="1"/>
    <x:col min="9" max="9" width="15" hidden="0" customWidth="1"/>
    <x:col min="10" max="10" width="18" hidden="0" customWidth="1"/>
  </x:cols>
  <x:sheetData>
    <x:row r="1">
      <x:c r="A1" s="7" t="str">
        <x:v>mercado_codigo</x:v>
      </x:c>
      <x:c r="B1" s="7" t="str">
        <x:v>mercado</x:v>
      </x:c>
      <x:c r="C1" s="7" t="str">
        <x:v>media_2025_jan_ago</x:v>
      </x:c>
      <x:c r="D1" s="7" t="str">
        <x:v>media_2026_jan_ago</x:v>
      </x:c>
      <x:c r="E1" s="7" t="str">
        <x:v>yoy_pct</x:v>
      </x:c>
      <x:c r="F1" s="7" t="str">
        <x:v>media_ultimos_3m</x:v>
      </x:c>
      <x:c r="G1" s="7" t="str">
        <x:v>media_3m_anteriores</x:v>
      </x:c>
      <x:c r="H1" s="7" t="str">
        <x:v>momentum_pct</x:v>
      </x:c>
      <x:c r="I1" s="7" t="str">
        <x:v>volatilidade</x:v>
      </x:c>
      <x:c r="J1" s="7" t="str">
        <x:v>status_momentum</x:v>
      </x:c>
    </x:row>
    <x:row r="2">
      <x:c r="A2" t="str">
        <x:v>BR</x:v>
      </x:c>
      <x:c r="B2" t="str">
        <x:v>Brasil</x:v>
      </x:c>
      <x:c r="C2" s="22" t="n">
        <x:f>IFERROR(SUMIFS(serie_mensal!$G$2:$G$257,serie_mensal!$E$2:$E$257,$A2,serie_mensal!$B$2:$B$257,2025,serie_mensal!$C$2:$C$257,"&lt;=8")/COUNTIFS(serie_mensal!$E$2:$E$257,$A2,serie_mensal!$B$2:$B$257,2025,serie_mensal!$C$2:$C$257,"&lt;=8"),"")</x:f>
        <x:v>80.625</x:v>
      </x:c>
      <x:c r="D2" s="22" t="n">
        <x:f>IFERROR(SUMIFS(serie_mensal!$G$2:$G$257,serie_mensal!$E$2:$E$257,$A2,serie_mensal!$B$2:$B$257,2026,serie_mensal!$C$2:$C$257,"&lt;=8")/COUNTIFS(serie_mensal!$E$2:$E$257,$A2,serie_mensal!$B$2:$B$257,2026,serie_mensal!$C$2:$C$257,"&lt;=8"),"")</x:f>
        <x:v>82.125</x:v>
      </x:c>
      <x:c r="E2" s="24" t="n">
        <x:f>IFERROR(D2/C2-1,"")</x:f>
        <x:v>0.018604651162790642</x:v>
      </x:c>
      <x:c r="F2" s="22" t="n">
        <x:f>IFERROR(SUMIFS(serie_mensal!$G$2:$G$257,serie_mensal!$E$2:$E$257,$A2,serie_mensal!$B$2:$B$257,2026,serie_mensal!$C$2:$C$257,"&gt;=6",serie_mensal!$C$2:$C$257,"&lt;=8")/COUNTIFS(serie_mensal!$E$2:$E$257,$A2,serie_mensal!$B$2:$B$257,2026,serie_mensal!$C$2:$C$257,"&gt;=6",serie_mensal!$C$2:$C$257,"&lt;=8"),"")</x:f>
        <x:v>76.66666666666667</x:v>
      </x:c>
      <x:c r="G2" s="22" t="n">
        <x:f>IFERROR(SUMIFS(serie_mensal!$G$2:$G$257,serie_mensal!$E$2:$E$257,$A2,serie_mensal!$B$2:$B$257,2026,serie_mensal!$C$2:$C$257,"&gt;=3",serie_mensal!$C$2:$C$257,"&lt;=5")/COUNTIFS(serie_mensal!$E$2:$E$257,$A2,serie_mensal!$B$2:$B$257,2026,serie_mensal!$C$2:$C$257,"&gt;=3",serie_mensal!$C$2:$C$257,"&lt;=5"),"")</x:f>
        <x:v>81</x:v>
      </x:c>
      <x:c r="H2" s="24" t="n">
        <x:f>IFERROR(F2/G2-1,"")</x:f>
        <x:v>-0.053497942386831254</x:v>
      </x:c>
      <x:c r="I2" s="24" t="n">
        <x:v>0.12368076893135503</x:v>
      </x:c>
      <x:c r="J2" t="str">
        <x:f>IF(H2="","",IF(H2&gt;=0.1,"Aquecendo",IF(H2&lt;=-0.1,"Desacelerando","Estável")))</x:f>
        <x:v>Estável</x:v>
      </x:c>
    </x:row>
    <x:row r="3">
      <x:c r="A3" t="str">
        <x:v>AR</x:v>
      </x:c>
      <x:c r="B3" t="str">
        <x:v>Argentina</x:v>
      </x:c>
      <x:c r="C3" s="22" t="n">
        <x:f>IFERROR(SUMIFS(serie_mensal!$G$2:$G$257,serie_mensal!$E$2:$E$257,$A3,serie_mensal!$B$2:$B$257,2025,serie_mensal!$C$2:$C$257,"&lt;=8")/COUNTIFS(serie_mensal!$E$2:$E$257,$A3,serie_mensal!$B$2:$B$257,2025,serie_mensal!$C$2:$C$257,"&lt;=8"),"")</x:f>
        <x:v>55.5</x:v>
      </x:c>
      <x:c r="D3" s="22" t="n">
        <x:f>IFERROR(SUMIFS(serie_mensal!$G$2:$G$257,serie_mensal!$E$2:$E$257,$A3,serie_mensal!$B$2:$B$257,2026,serie_mensal!$C$2:$C$257,"&lt;=8")/COUNTIFS(serie_mensal!$E$2:$E$257,$A3,serie_mensal!$B$2:$B$257,2026,serie_mensal!$C$2:$C$257,"&lt;=8"),"")</x:f>
        <x:v>52.75</x:v>
      </x:c>
      <x:c r="E3" s="24" t="n">
        <x:f>IFERROR(D3/C3-1,"")</x:f>
        <x:v>-0.0495495495495496</x:v>
      </x:c>
      <x:c r="F3" s="22" t="n">
        <x:f>IFERROR(SUMIFS(serie_mensal!$G$2:$G$257,serie_mensal!$E$2:$E$257,$A3,serie_mensal!$B$2:$B$257,2026,serie_mensal!$C$2:$C$257,"&gt;=6",serie_mensal!$C$2:$C$257,"&lt;=8")/COUNTIFS(serie_mensal!$E$2:$E$257,$A3,serie_mensal!$B$2:$B$257,2026,serie_mensal!$C$2:$C$257,"&gt;=6",serie_mensal!$C$2:$C$257,"&lt;=8"),"")</x:f>
        <x:v>33.666666666666664</x:v>
      </x:c>
      <x:c r="G3" s="22" t="n">
        <x:f>IFERROR(SUMIFS(serie_mensal!$G$2:$G$257,serie_mensal!$E$2:$E$257,$A3,serie_mensal!$B$2:$B$257,2026,serie_mensal!$C$2:$C$257,"&gt;=3",serie_mensal!$C$2:$C$257,"&lt;=5")/COUNTIFS(serie_mensal!$E$2:$E$257,$A3,serie_mensal!$B$2:$B$257,2026,serie_mensal!$C$2:$C$257,"&gt;=3",serie_mensal!$C$2:$C$257,"&lt;=5"),"")</x:f>
        <x:v>48</x:v>
      </x:c>
      <x:c r="H3" s="24" t="n">
        <x:f>IFERROR(F3/G3-1,"")</x:f>
        <x:v>-0.29861111111111116</x:v>
      </x:c>
      <x:c r="I3" s="24" t="n">
        <x:v>0.3896135317728953</x:v>
      </x:c>
      <x:c r="J3" t="str">
        <x:f>IF(H3="","",IF(H3&gt;=0.1,"Aquecendo",IF(H3&lt;=-0.1,"Desacelerando","Estável")))</x:f>
        <x:v>Desacelerando</x:v>
      </x:c>
    </x:row>
    <x:row r="4">
      <x:c r="A4" t="str">
        <x:v>CL</x:v>
      </x:c>
      <x:c r="B4" t="str">
        <x:v>Chile</x:v>
      </x:c>
      <x:c r="C4" s="22" t="n">
        <x:f>IFERROR(SUMIFS(serie_mensal!$G$2:$G$257,serie_mensal!$E$2:$E$257,$A4,serie_mensal!$B$2:$B$257,2025,serie_mensal!$C$2:$C$257,"&lt;=8")/COUNTIFS(serie_mensal!$E$2:$E$257,$A4,serie_mensal!$B$2:$B$257,2025,serie_mensal!$C$2:$C$257,"&lt;=8"),"")</x:f>
        <x:v>58.125</x:v>
      </x:c>
      <x:c r="D4" s="22" t="n">
        <x:f>IFERROR(SUMIFS(serie_mensal!$G$2:$G$257,serie_mensal!$E$2:$E$257,$A4,serie_mensal!$B$2:$B$257,2026,serie_mensal!$C$2:$C$257,"&lt;=8")/COUNTIFS(serie_mensal!$E$2:$E$257,$A4,serie_mensal!$B$2:$B$257,2026,serie_mensal!$C$2:$C$257,"&lt;=8"),"")</x:f>
        <x:v>42.5</x:v>
      </x:c>
      <x:c r="E4" s="24" t="n">
        <x:f>IFERROR(D4/C4-1,"")</x:f>
        <x:v>-0.26881720430107525</x:v>
      </x:c>
      <x:c r="F4" s="22" t="n">
        <x:f>IFERROR(SUMIFS(serie_mensal!$G$2:$G$257,serie_mensal!$E$2:$E$257,$A4,serie_mensal!$B$2:$B$257,2026,serie_mensal!$C$2:$C$257,"&gt;=6",serie_mensal!$C$2:$C$257,"&lt;=8")/COUNTIFS(serie_mensal!$E$2:$E$257,$A4,serie_mensal!$B$2:$B$257,2026,serie_mensal!$C$2:$C$257,"&gt;=6",serie_mensal!$C$2:$C$257,"&lt;=8"),"")</x:f>
        <x:v>27</x:v>
      </x:c>
      <x:c r="G4" s="22" t="n">
        <x:f>IFERROR(SUMIFS(serie_mensal!$G$2:$G$257,serie_mensal!$E$2:$E$257,$A4,serie_mensal!$B$2:$B$257,2026,serie_mensal!$C$2:$C$257,"&gt;=3",serie_mensal!$C$2:$C$257,"&lt;=5")/COUNTIFS(serie_mensal!$E$2:$E$257,$A4,serie_mensal!$B$2:$B$257,2026,serie_mensal!$C$2:$C$257,"&gt;=3",serie_mensal!$C$2:$C$257,"&lt;=5"),"")</x:f>
        <x:v>38.666666666666664</x:v>
      </x:c>
      <x:c r="H4" s="24" t="n">
        <x:f>IFERROR(F4/G4-1,"")</x:f>
        <x:v>-0.3017241379310345</x:v>
      </x:c>
      <x:c r="I4" s="24" t="n">
        <x:v>0.3590712709793818</x:v>
      </x:c>
      <x:c r="J4" t="str">
        <x:f>IF(H4="","",IF(H4&gt;=0.1,"Aquecendo",IF(H4&lt;=-0.1,"Desacelerando","Estável")))</x:f>
        <x:v>Desacelerando</x:v>
      </x:c>
    </x:row>
    <x:row r="5">
      <x:c r="A5" t="str">
        <x:v>CO</x:v>
      </x:c>
      <x:c r="B5" t="str">
        <x:v>Colômbia</x:v>
      </x:c>
      <x:c r="C5" s="22" t="n">
        <x:f>IFERROR(SUMIFS(serie_mensal!$G$2:$G$257,serie_mensal!$E$2:$E$257,$A5,serie_mensal!$B$2:$B$257,2025,serie_mensal!$C$2:$C$257,"&lt;=8")/COUNTIFS(serie_mensal!$E$2:$E$257,$A5,serie_mensal!$B$2:$B$257,2025,serie_mensal!$C$2:$C$257,"&lt;=8"),"")</x:f>
        <x:v>72.375</x:v>
      </x:c>
      <x:c r="D5" s="22" t="n">
        <x:f>IFERROR(SUMIFS(serie_mensal!$G$2:$G$257,serie_mensal!$E$2:$E$257,$A5,serie_mensal!$B$2:$B$257,2026,serie_mensal!$C$2:$C$257,"&lt;=8")/COUNTIFS(serie_mensal!$E$2:$E$257,$A5,serie_mensal!$B$2:$B$257,2026,serie_mensal!$C$2:$C$257,"&lt;=8"),"")</x:f>
        <x:v>80.125</x:v>
      </x:c>
      <x:c r="E5" s="24" t="n">
        <x:f>IFERROR(D5/C5-1,"")</x:f>
        <x:v>0.10708117443868748</x:v>
      </x:c>
      <x:c r="F5" s="22" t="n">
        <x:f>IFERROR(SUMIFS(serie_mensal!$G$2:$G$257,serie_mensal!$E$2:$E$257,$A5,serie_mensal!$B$2:$B$257,2026,serie_mensal!$C$2:$C$257,"&gt;=6",serie_mensal!$C$2:$C$257,"&lt;=8")/COUNTIFS(serie_mensal!$E$2:$E$257,$A5,serie_mensal!$B$2:$B$257,2026,serie_mensal!$C$2:$C$257,"&gt;=6",serie_mensal!$C$2:$C$257,"&lt;=8"),"")</x:f>
        <x:v>75</x:v>
      </x:c>
      <x:c r="G5" s="22" t="n">
        <x:f>IFERROR(SUMIFS(serie_mensal!$G$2:$G$257,serie_mensal!$E$2:$E$257,$A5,serie_mensal!$B$2:$B$257,2026,serie_mensal!$C$2:$C$257,"&gt;=3",serie_mensal!$C$2:$C$257,"&lt;=5")/COUNTIFS(serie_mensal!$E$2:$E$257,$A5,serie_mensal!$B$2:$B$257,2026,serie_mensal!$C$2:$C$257,"&gt;=3",serie_mensal!$C$2:$C$257,"&lt;=5"),"")</x:f>
        <x:v>80.33333333333333</x:v>
      </x:c>
      <x:c r="H5" s="24" t="n">
        <x:f>IFERROR(F5/G5-1,"")</x:f>
        <x:v>-0.06639004149377592</x:v>
      </x:c>
      <x:c r="I5" s="24" t="n">
        <x:v>0.35747543669657184</x:v>
      </x:c>
      <x:c r="J5" t="str">
        <x:f>IF(H5="","",IF(H5&gt;=0.1,"Aquecendo",IF(H5&lt;=-0.1,"Desacelerando","Estável")))</x:f>
        <x:v>Estável</x:v>
      </x:c>
    </x:row>
    <x:row r="6">
      <x:c r="A6" t="str">
        <x:v>UY</x:v>
      </x:c>
      <x:c r="B6" t="str">
        <x:v>Uruguai</x:v>
      </x:c>
      <x:c r="C6" s="22" t="n">
        <x:f>IFERROR(SUMIFS(serie_mensal!$G$2:$G$257,serie_mensal!$E$2:$E$257,$A6,serie_mensal!$B$2:$B$257,2025,serie_mensal!$C$2:$C$257,"&lt;=8")/COUNTIFS(serie_mensal!$E$2:$E$257,$A6,serie_mensal!$B$2:$B$257,2025,serie_mensal!$C$2:$C$257,"&lt;=8"),"")</x:f>
        <x:v>53.5</x:v>
      </x:c>
      <x:c r="D6" s="22" t="n">
        <x:f>IFERROR(SUMIFS(serie_mensal!$G$2:$G$257,serie_mensal!$E$2:$E$257,$A6,serie_mensal!$B$2:$B$257,2026,serie_mensal!$C$2:$C$257,"&lt;=8")/COUNTIFS(serie_mensal!$E$2:$E$257,$A6,serie_mensal!$B$2:$B$257,2026,serie_mensal!$C$2:$C$257,"&lt;=8"),"")</x:f>
        <x:v>50</x:v>
      </x:c>
      <x:c r="E6" s="24" t="n">
        <x:f>IFERROR(D6/C6-1,"")</x:f>
        <x:v>-0.06542056074766356</x:v>
      </x:c>
      <x:c r="F6" s="22" t="n">
        <x:f>IFERROR(SUMIFS(serie_mensal!$G$2:$G$257,serie_mensal!$E$2:$E$257,$A6,serie_mensal!$B$2:$B$257,2026,serie_mensal!$C$2:$C$257,"&gt;=6",serie_mensal!$C$2:$C$257,"&lt;=8")/COUNTIFS(serie_mensal!$E$2:$E$257,$A6,serie_mensal!$B$2:$B$257,2026,serie_mensal!$C$2:$C$257,"&gt;=6",serie_mensal!$C$2:$C$257,"&lt;=8"),"")</x:f>
        <x:v>40</x:v>
      </x:c>
      <x:c r="G6" s="22" t="n">
        <x:f>IFERROR(SUMIFS(serie_mensal!$G$2:$G$257,serie_mensal!$E$2:$E$257,$A6,serie_mensal!$B$2:$B$257,2026,serie_mensal!$C$2:$C$257,"&gt;=3",serie_mensal!$C$2:$C$257,"&lt;=5")/COUNTIFS(serie_mensal!$E$2:$E$257,$A6,serie_mensal!$B$2:$B$257,2026,serie_mensal!$C$2:$C$257,"&gt;=3",serie_mensal!$C$2:$C$257,"&lt;=5"),"")</x:f>
        <x:v>46.333333333333336</x:v>
      </x:c>
      <x:c r="H6" s="24" t="n">
        <x:f>IFERROR(F6/G6-1,"")</x:f>
        <x:v>-0.13669064748201443</x:v>
      </x:c>
      <x:c r="I6" s="24" t="n">
        <x:v>0.6314169915705151</x:v>
      </x:c>
      <x:c r="J6" t="str">
        <x:f>IF(H6="","",IF(H6&gt;=0.1,"Aquecendo",IF(H6&lt;=-0.1,"Desacelerando","Estável")))</x:f>
        <x:v>Desacelerando</x:v>
      </x:c>
    </x:row>
    <x:row r="7">
      <x:c r="A7" t="str">
        <x:v>US</x:v>
      </x:c>
      <x:c r="B7" t="str">
        <x:v>Estados Unidos</x:v>
      </x:c>
      <x:c r="C7" s="22" t="n">
        <x:f>IFERROR(SUMIFS(serie_mensal!$G$2:$G$257,serie_mensal!$E$2:$E$257,$A7,serie_mensal!$B$2:$B$257,2025,serie_mensal!$C$2:$C$257,"&lt;=8")/COUNTIFS(serie_mensal!$E$2:$E$257,$A7,serie_mensal!$B$2:$B$257,2025,serie_mensal!$C$2:$C$257,"&lt;=8"),"")</x:f>
        <x:v>60.625</x:v>
      </x:c>
      <x:c r="D7" s="22" t="n">
        <x:f>IFERROR(SUMIFS(serie_mensal!$G$2:$G$257,serie_mensal!$E$2:$E$257,$A7,serie_mensal!$B$2:$B$257,2026,serie_mensal!$C$2:$C$257,"&lt;=8")/COUNTIFS(serie_mensal!$E$2:$E$257,$A7,serie_mensal!$B$2:$B$257,2026,serie_mensal!$C$2:$C$257,"&lt;=8"),"")</x:f>
        <x:v>76.875</x:v>
      </x:c>
      <x:c r="E7" s="24" t="n">
        <x:f>IFERROR(D7/C7-1,"")</x:f>
        <x:v>0.268041237113402</x:v>
      </x:c>
      <x:c r="F7" s="22" t="n">
        <x:f>IFERROR(SUMIFS(serie_mensal!$G$2:$G$257,serie_mensal!$E$2:$E$257,$A7,serie_mensal!$B$2:$B$257,2026,serie_mensal!$C$2:$C$257,"&gt;=6",serie_mensal!$C$2:$C$257,"&lt;=8")/COUNTIFS(serie_mensal!$E$2:$E$257,$A7,serie_mensal!$B$2:$B$257,2026,serie_mensal!$C$2:$C$257,"&gt;=6",serie_mensal!$C$2:$C$257,"&lt;=8"),"")</x:f>
        <x:v>60</x:v>
      </x:c>
      <x:c r="G7" s="22" t="n">
        <x:f>IFERROR(SUMIFS(serie_mensal!$G$2:$G$257,serie_mensal!$E$2:$E$257,$A7,serie_mensal!$B$2:$B$257,2026,serie_mensal!$C$2:$C$257,"&gt;=3",serie_mensal!$C$2:$C$257,"&lt;=5")/COUNTIFS(serie_mensal!$E$2:$E$257,$A7,serie_mensal!$B$2:$B$257,2026,serie_mensal!$C$2:$C$257,"&gt;=3",serie_mensal!$C$2:$C$257,"&lt;=5"),"")</x:f>
        <x:v>83</x:v>
      </x:c>
      <x:c r="H7" s="24" t="n">
        <x:f>IFERROR(F7/G7-1,"")</x:f>
        <x:v>-0.27710843373493976</x:v>
      </x:c>
      <x:c r="I7" s="24" t="n">
        <x:v>0.26312526633558536</x:v>
      </x:c>
      <x:c r="J7" t="str">
        <x:f>IF(H7="","",IF(H7&gt;=0.1,"Aquecendo",IF(H7&lt;=-0.1,"Desacelerando","Estável")))</x:f>
        <x:v>Desacelerando</x:v>
      </x:c>
    </x:row>
    <x:row r="8">
      <x:c r="A8" t="str">
        <x:v>FR</x:v>
      </x:c>
      <x:c r="B8" t="str">
        <x:v>França</x:v>
      </x:c>
      <x:c r="C8" s="22" t="n">
        <x:f>IFERROR(SUMIFS(serie_mensal!$G$2:$G$257,serie_mensal!$E$2:$E$257,$A8,serie_mensal!$B$2:$B$257,2025,serie_mensal!$C$2:$C$257,"&lt;=8")/COUNTIFS(serie_mensal!$E$2:$E$257,$A8,serie_mensal!$B$2:$B$257,2025,serie_mensal!$C$2:$C$257,"&lt;=8"),"")</x:f>
        <x:v>53.25</x:v>
      </x:c>
      <x:c r="D8" s="22" t="n">
        <x:f>IFERROR(SUMIFS(serie_mensal!$G$2:$G$257,serie_mensal!$E$2:$E$257,$A8,serie_mensal!$B$2:$B$257,2026,serie_mensal!$C$2:$C$257,"&lt;=8")/COUNTIFS(serie_mensal!$E$2:$E$257,$A8,serie_mensal!$B$2:$B$257,2026,serie_mensal!$C$2:$C$257,"&lt;=8"),"")</x:f>
        <x:v>59.375</x:v>
      </x:c>
      <x:c r="E8" s="24" t="n">
        <x:f>IFERROR(D8/C8-1,"")</x:f>
        <x:v>0.11502347417840375</x:v>
      </x:c>
      <x:c r="F8" s="22" t="n">
        <x:f>IFERROR(SUMIFS(serie_mensal!$G$2:$G$257,serie_mensal!$E$2:$E$257,$A8,serie_mensal!$B$2:$B$257,2026,serie_mensal!$C$2:$C$257,"&gt;=6",serie_mensal!$C$2:$C$257,"&lt;=8")/COUNTIFS(serie_mensal!$E$2:$E$257,$A8,serie_mensal!$B$2:$B$257,2026,serie_mensal!$C$2:$C$257,"&gt;=6",serie_mensal!$C$2:$C$257,"&lt;=8"),"")</x:f>
        <x:v>45</x:v>
      </x:c>
      <x:c r="G8" s="22" t="n">
        <x:f>IFERROR(SUMIFS(serie_mensal!$G$2:$G$257,serie_mensal!$E$2:$E$257,$A8,serie_mensal!$B$2:$B$257,2026,serie_mensal!$C$2:$C$257,"&gt;=3",serie_mensal!$C$2:$C$257,"&lt;=5")/COUNTIFS(serie_mensal!$E$2:$E$257,$A8,serie_mensal!$B$2:$B$257,2026,serie_mensal!$C$2:$C$257,"&gt;=3",serie_mensal!$C$2:$C$257,"&lt;=5"),"")</x:f>
        <x:v>55.666666666666664</x:v>
      </x:c>
      <x:c r="H8" s="24" t="n">
        <x:f>IFERROR(F8/G8-1,"")</x:f>
        <x:v>-0.19161676646706582</x:v>
      </x:c>
      <x:c r="I8" s="24" t="n">
        <x:v>0.24460243679425714</x:v>
      </x:c>
      <x:c r="J8" t="str">
        <x:f>IF(H8="","",IF(H8&gt;=0.1,"Aquecendo",IF(H8&lt;=-0.1,"Desacelerando","Estável")))</x:f>
        <x:v>Desacelerando</x:v>
      </x:c>
    </x:row>
    <x:row r="9">
      <x:c r="A9" t="str">
        <x:v>WORLD</x:v>
      </x:c>
      <x:c r="B9" t="str">
        <x:v>Mundo</x:v>
      </x:c>
      <x:c r="C9" s="22" t="n">
        <x:f>IFERROR(SUMIFS(serie_mensal!$G$2:$G$257,serie_mensal!$E$2:$E$257,$A9,serie_mensal!$B$2:$B$257,2025,serie_mensal!$C$2:$C$257,"&lt;=8")/COUNTIFS(serie_mensal!$E$2:$E$257,$A9,serie_mensal!$B$2:$B$257,2025,serie_mensal!$C$2:$C$257,"&lt;=8"),"")</x:f>
        <x:v>75.625</x:v>
      </x:c>
      <x:c r="D9" s="22" t="n">
        <x:f>IFERROR(SUMIFS(serie_mensal!$G$2:$G$257,serie_mensal!$E$2:$E$257,$A9,serie_mensal!$B$2:$B$257,2026,serie_mensal!$C$2:$C$257,"&lt;=8")/COUNTIFS(serie_mensal!$E$2:$E$257,$A9,serie_mensal!$B$2:$B$257,2026,serie_mensal!$C$2:$C$257,"&lt;=8"),"")</x:f>
        <x:v>80.375</x:v>
      </x:c>
      <x:c r="E9" s="24" t="n">
        <x:f>IFERROR(D9/C9-1,"")</x:f>
        <x:v>0.062809917355372</x:v>
      </x:c>
      <x:c r="F9" s="22" t="n">
        <x:f>IFERROR(SUMIFS(serie_mensal!$G$2:$G$257,serie_mensal!$E$2:$E$257,$A9,serie_mensal!$B$2:$B$257,2026,serie_mensal!$C$2:$C$257,"&gt;=6",serie_mensal!$C$2:$C$257,"&lt;=8")/COUNTIFS(serie_mensal!$E$2:$E$257,$A9,serie_mensal!$B$2:$B$257,2026,serie_mensal!$C$2:$C$257,"&gt;=6",serie_mensal!$C$2:$C$257,"&lt;=8"),"")</x:f>
        <x:v>70.33333333333333</x:v>
      </x:c>
      <x:c r="G9" s="22" t="n">
        <x:f>IFERROR(SUMIFS(serie_mensal!$G$2:$G$257,serie_mensal!$E$2:$E$257,$A9,serie_mensal!$B$2:$B$257,2026,serie_mensal!$C$2:$C$257,"&gt;=3",serie_mensal!$C$2:$C$257,"&lt;=5")/COUNTIFS(serie_mensal!$E$2:$E$257,$A9,serie_mensal!$B$2:$B$257,2026,serie_mensal!$C$2:$C$257,"&gt;=3",serie_mensal!$C$2:$C$257,"&lt;=5"),"")</x:f>
        <x:v>77.33333333333333</x:v>
      </x:c>
      <x:c r="H9" s="24" t="n">
        <x:f>IFERROR(F9/G9-1,"")</x:f>
        <x:v>-0.09051724137931039</x:v>
      </x:c>
      <x:c r="I9" s="24" t="n">
        <x:v>0.15803815986917902</x:v>
      </x:c>
      <x:c r="J9" t="str">
        <x:f>IF(H9="","",IF(H9&gt;=0.1,"Aquecendo",IF(H9&lt;=-0.1,"Desacelerando","Estável")))</x:f>
        <x:v>Estável</x:v>
      </x:c>
    </x:row>
  </x:sheetData>
  <x:conditionalFormatting sqref="E2:E9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H2:H9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28311afda0843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</x:cols>
  <x:sheetData>
    <x:row r="1">
      <x:c r="A1" s="7" t="str">
        <x:v>mercado_codigo</x:v>
      </x:c>
      <x:c r="B1" s="7" t="str">
        <x:v>mercado</x:v>
      </x:c>
      <x:c r="C1" s="7" t="str">
        <x:v>Jan</x:v>
      </x:c>
      <x:c r="D1" s="7" t="str">
        <x:v>Fev</x:v>
      </x:c>
      <x:c r="E1" s="7" t="str">
        <x:v>Mar</x:v>
      </x:c>
      <x:c r="F1" s="7" t="str">
        <x:v>Abr</x:v>
      </x:c>
      <x:c r="G1" s="7" t="str">
        <x:v>Mai</x:v>
      </x:c>
      <x:c r="H1" s="7" t="str">
        <x:v>Jun</x:v>
      </x:c>
      <x:c r="I1" s="7" t="str">
        <x:v>Jul</x:v>
      </x:c>
      <x:c r="J1" s="7" t="str">
        <x:v>Ago</x:v>
      </x:c>
      <x:c r="K1" s="7" t="str">
        <x:v>Set</x:v>
      </x:c>
      <x:c r="L1" s="7" t="str">
        <x:v>Out</x:v>
      </x:c>
      <x:c r="M1" s="7" t="str">
        <x:v>Nov</x:v>
      </x:c>
      <x:c r="N1" s="7" t="str">
        <x:v>Dez</x:v>
      </x:c>
    </x:row>
    <x:row r="2">
      <x:c r="A2" t="str">
        <x:v>BR</x:v>
      </x:c>
      <x:c r="B2" t="str">
        <x:v>Brasil</x:v>
      </x:c>
      <x:c r="C2" s="26" t="n">
        <x:v>1.1182446160097521</x:v>
      </x:c>
      <x:c r="D2" s="26" t="n">
        <x:v>1.139916023296763</x:v>
      </x:c>
      <x:c r="E2" s="26" t="n">
        <x:v>1.05323039414872</x:v>
      </x:c>
      <x:c r="F2" s="26" t="n">
        <x:v>0.9492076391710687</x:v>
      </x:c>
      <x:c r="G2" s="26" t="n">
        <x:v>0.8711905729378302</x:v>
      </x:c>
      <x:c r="H2" s="26" t="n">
        <x:v>0.8885276987674386</x:v>
      </x:c>
      <x:c r="I2" s="26" t="n">
        <x:v>1.0488961126913179</x:v>
      </x:c>
      <x:c r="J2" s="26" t="n">
        <x:v>1.0012190166598944</x:v>
      </x:c>
      <x:c r="K2" s="26" t="n">
        <x:v>1.0662332385209266</x:v>
      </x:c>
      <x:c r="L2" s="26" t="n">
        <x:v>0.9362047947988622</x:v>
      </x:c>
      <x:c r="M2" s="26" t="n">
        <x:v>0.9232019504266559</x:v>
      </x:c>
      <x:c r="N2" s="26" t="n">
        <x:v>0.9687119057293783</x:v>
      </x:c>
    </x:row>
    <x:row r="3">
      <x:c r="A3" t="str">
        <x:v>AR</x:v>
      </x:c>
      <x:c r="B3" t="str">
        <x:v>Argentina</x:v>
      </x:c>
      <x:c r="C3" s="26" t="n">
        <x:v>1.697903294822422</x:v>
      </x:c>
      <x:c r="D3" s="26" t="n">
        <x:v>1.2323491655969192</x:v>
      </x:c>
      <x:c r="E3" s="26" t="n">
        <x:v>1.0885750962772787</x:v>
      </x:c>
      <x:c r="F3" s="26" t="n">
        <x:v>0.7736414206247325</x:v>
      </x:c>
      <x:c r="G3" s="26" t="n">
        <x:v>0.7120239623448865</x:v>
      </x:c>
      <x:c r="H3" s="26" t="n">
        <x:v>0.629867351305092</x:v>
      </x:c>
      <x:c r="I3" s="26" t="n">
        <x:v>0.8352588789045785</x:v>
      </x:c>
      <x:c r="J3" s="26" t="n">
        <x:v>0.8626444159178434</x:v>
      </x:c>
      <x:c r="K3" s="26" t="n">
        <x:v>0.8421052631578947</x:v>
      </x:c>
      <x:c r="L3" s="26" t="n">
        <x:v>1.0166880616174583</x:v>
      </x:c>
      <x:c r="M3" s="26" t="n">
        <x:v>1.0166880616174583</x:v>
      </x:c>
      <x:c r="N3" s="26" t="n">
        <x:v>1.3761232349165597</x:v>
      </x:c>
    </x:row>
    <x:row r="4">
      <x:c r="A4" t="str">
        <x:v>CL</x:v>
      </x:c>
      <x:c r="B4" t="str">
        <x:v>Chile</x:v>
      </x:c>
      <x:c r="C4" s="26" t="n">
        <x:v>1.6140350877192984</x:v>
      </x:c>
      <x:c r="D4" s="26" t="n">
        <x:v>1.5368421052631578</x:v>
      </x:c>
      <x:c r="E4" s="26" t="n">
        <x:v>0.9614035087719298</x:v>
      </x:c>
      <x:c r="F4" s="26" t="n">
        <x:v>0.7649122807017544</x:v>
      </x:c>
      <x:c r="G4" s="26" t="n">
        <x:v>0.7929824561403508</x:v>
      </x:c>
      <x:c r="H4" s="26" t="n">
        <x:v>0.6666666666666667</x:v>
      </x:c>
      <x:c r="I4" s="26" t="n">
        <x:v>0.8842105263157894</x:v>
      </x:c>
      <x:c r="J4" s="26" t="n">
        <x:v>0.7228070175438597</x:v>
      </x:c>
      <x:c r="K4" s="26" t="n">
        <x:v>1.0210526315789474</x:v>
      </x:c>
      <x:c r="L4" s="26" t="n">
        <x:v>1.0526315789473684</x:v>
      </x:c>
      <x:c r="M4" s="26" t="n">
        <x:v>0.968421052631579</x:v>
      </x:c>
      <x:c r="N4" s="26" t="n">
        <x:v>1.0421052631578946</x:v>
      </x:c>
    </x:row>
    <x:row r="5">
      <x:c r="A5" t="str">
        <x:v>CO</x:v>
      </x:c>
      <x:c r="B5" t="str">
        <x:v>Colômbia</x:v>
      </x:c>
      <x:c r="C5" s="26" t="n">
        <x:v>1.0411794611082867</x:v>
      </x:c>
      <x:c r="D5" s="26" t="n">
        <x:v>0.9381460769361125</x:v>
      </x:c>
      <x:c r="E5" s="26" t="n">
        <x:v>1.0086426029486528</x:v>
      </x:c>
      <x:c r="F5" s="26" t="n">
        <x:v>1.1008303677342823</x:v>
      </x:c>
      <x:c r="G5" s="26" t="n">
        <x:v>1.0520250804948315</x:v>
      </x:c>
      <x:c r="H5" s="26" t="n">
        <x:v>1.0086426029486528</x:v>
      </x:c>
      <x:c r="I5" s="26" t="n">
        <x:v>0.9977969835621081</x:v>
      </x:c>
      <x:c r="J5" s="26" t="n">
        <x:v>1.046602270801559</x:v>
      </x:c>
      <x:c r="K5" s="26" t="n">
        <x:v>0.9842399593289273</x:v>
      </x:c>
      <x:c r="L5" s="26" t="n">
        <x:v>0.845958312150483</x:v>
      </x:c>
      <x:c r="M5" s="26" t="n">
        <x:v>0.9761057447890188</x:v>
      </x:c>
      <x:c r="N5" s="26" t="n">
        <x:v>0.9028978139298424</x:v>
      </x:c>
    </x:row>
    <x:row r="6">
      <x:c r="A6" t="str">
        <x:v>UY</x:v>
      </x:c>
      <x:c r="B6" t="str">
        <x:v>Uruguai</x:v>
      </x:c>
      <x:c r="C6" s="26" t="n">
        <x:v>1.6260162601626018</x:v>
      </x:c>
      <x:c r="D6" s="26" t="n">
        <x:v>1.2764227642276422</x:v>
      </x:c>
      <x:c r="E6" s="26" t="n">
        <x:v>1.3170731707317074</x:v>
      </x:c>
      <x:c r="F6" s="26" t="n">
        <x:v>1.1626016260162602</x:v>
      </x:c>
      <x:c r="G6" s="26" t="n">
        <x:v>0.6422764227642276</x:v>
      </x:c>
      <x:c r="H6" s="26" t="n">
        <x:v>0.5934959349593496</x:v>
      </x:c>
      <x:c r="I6" s="26" t="n">
        <x:v>0.7235772357723578</x:v>
      </x:c>
      <x:c r="J6" s="26" t="n">
        <x:v>0.9512195121951219</x:v>
      </x:c>
      <x:c r="K6" s="26" t="n">
        <x:v>1.0853658536585367</x:v>
      </x:c>
      <x:c r="L6" s="26" t="n">
        <x:v>0.5609756097560976</x:v>
      </x:c>
      <x:c r="M6" s="26" t="n">
        <x:v>0.5975609756097561</x:v>
      </x:c>
      <x:c r="N6" s="26" t="n">
        <x:v>1.3170731707317074</x:v>
      </x:c>
    </x:row>
    <x:row r="7">
      <x:c r="A7" t="str">
        <x:v>US</x:v>
      </x:c>
      <x:c r="B7" t="str">
        <x:v>Estados Unidos</x:v>
      </x:c>
      <x:c r="C7" s="26" t="n">
        <x:v>1.0379572118702554</x:v>
      </x:c>
      <x:c r="D7" s="26" t="n">
        <x:v>1.214630779848171</x:v>
      </x:c>
      <x:c r="E7" s="26" t="n">
        <x:v>1.1925465838509317</x:v>
      </x:c>
      <x:c r="F7" s="26" t="n">
        <x:v>0.9937888198757764</x:v>
      </x:c>
      <x:c r="G7" s="26" t="n">
        <x:v>1.010351966873706</x:v>
      </x:c>
      <x:c r="H7" s="26" t="n">
        <x:v>0.9109730848861284</x:v>
      </x:c>
      <x:c r="I7" s="26" t="n">
        <x:v>1.010351966873706</x:v>
      </x:c>
      <x:c r="J7" s="26" t="n">
        <x:v>0.883367839889579</x:v>
      </x:c>
      <x:c r="K7" s="26" t="n">
        <x:v>0.6873706004140787</x:v>
      </x:c>
      <x:c r="L7" s="26" t="n">
        <x:v>0.7122153209109731</x:v>
      </x:c>
      <x:c r="M7" s="26" t="n">
        <x:v>1.093167701863354</x:v>
      </x:c>
      <x:c r="N7" s="26" t="n">
        <x:v>1.1262939958592133</x:v>
      </x:c>
    </x:row>
    <x:row r="8">
      <x:c r="A8" t="str">
        <x:v>FR</x:v>
      </x:c>
      <x:c r="B8" t="str">
        <x:v>França</x:v>
      </x:c>
      <x:c r="C8" s="26" t="n">
        <x:v>1.1084611016467916</x:v>
      </x:c>
      <x:c r="D8" s="26" t="n">
        <x:v>1.4113193261404506</x:v>
      </x:c>
      <x:c r="E8" s="26" t="n">
        <x:v>0.9691463183797085</x:v>
      </x:c>
      <x:c r="F8" s="26" t="n">
        <x:v>0.9388604959303426</x:v>
      </x:c>
      <x:c r="G8" s="26" t="n">
        <x:v>1.0781752791974257</x:v>
      </x:c>
      <x:c r="H8" s="26" t="n">
        <x:v>0.817717206132879</x:v>
      </x:c>
      <x:c r="I8" s="26" t="n">
        <x:v>0.8964603445012304</x:v>
      </x:c>
      <x:c r="J8" s="26" t="n">
        <x:v>1.150861253075904</x:v>
      </x:c>
      <x:c r="K8" s="26" t="n">
        <x:v>0.8904031800113572</x:v>
      </x:c>
      <x:c r="L8" s="26" t="n">
        <x:v>0.6360022714366838</x:v>
      </x:c>
      <x:c r="M8" s="26" t="n">
        <x:v>0.8540601930721181</x:v>
      </x:c>
      <x:c r="N8" s="26" t="n">
        <x:v>1.0630323679727427</x:v>
      </x:c>
    </x:row>
    <x:row r="9">
      <x:c r="A9" t="str">
        <x:v>WORLD</x:v>
      </x:c>
      <x:c r="B9" t="str">
        <x:v>Mundo</x:v>
      </x:c>
      <x:c r="C9" s="26" t="n">
        <x:v>1.230055120394546</x:v>
      </x:c>
      <x:c r="D9" s="26" t="n">
        <x:v>1.1418624891209748</x:v>
      </x:c>
      <x:c r="E9" s="26" t="n">
        <x:v>1.114012184508268</x:v>
      </x:c>
      <x:c r="F9" s="26" t="n">
        <x:v>0.9469103568320278</x:v>
      </x:c>
      <x:c r="G9" s="26" t="n">
        <x:v>0.8772845953002611</x:v>
      </x:c>
      <x:c r="H9" s="26" t="n">
        <x:v>0.8680011604293589</x:v>
      </x:c>
      <x:c r="I9" s="26" t="n">
        <x:v>0.9840440963156368</x:v>
      </x:c>
      <x:c r="J9" s="26" t="n">
        <x:v>1.025819553234697</x:v>
      </x:c>
      <x:c r="K9" s="26" t="n">
        <x:v>0.9190600522193212</x:v>
      </x:c>
      <x:c r="L9" s="26" t="n">
        <x:v>0.9190600522193212</x:v>
      </x:c>
      <x:c r="M9" s="26" t="n">
        <x:v>0.8912097476066144</x:v>
      </x:c>
      <x:c r="N9" s="26" t="n">
        <x:v>0.9886858137510879</x:v>
      </x:c>
    </x:row>
  </x:sheetData>
  <x:conditionalFormatting sqref="C2:N9">
    <x:cfRule type="colorScale" priority="1">
      <x:colorScale>
        <x:cfvo type="min"/>
        <x:cfvo type="percentile" val="50"/>
        <x:cfvo type="max"/>
        <x:color rgb="FFDBEAFE"/>
        <x:color rgb="FFFFF7ED"/>
        <x:color rgb="FFFED7A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af018fe15540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3" hidden="0" customWidth="1"/>
    <x:col min="5" max="5" width="15" hidden="0" customWidth="1"/>
    <x:col min="6" max="6" width="9" hidden="0" customWidth="1"/>
    <x:col min="7" max="7" width="10" hidden="0" customWidth="1"/>
  </x:cols>
  <x:sheetData>
    <x:row r="1">
      <x:c r="A1" s="7" t="str">
        <x:v>mercado_codigo</x:v>
      </x:c>
      <x:c r="B1" s="7" t="str">
        <x:v>mercado</x:v>
      </x:c>
      <x:c r="C1" s="7" t="str">
        <x:v>rank_pico</x:v>
      </x:c>
      <x:c r="D1" s="7" t="str">
        <x:v>data</x:v>
      </x:c>
      <x:c r="E1" s="7" t="str">
        <x:v>indice_trends</x:v>
      </x:c>
      <x:c r="F1" s="7" t="str">
        <x:v>ano</x:v>
      </x:c>
      <x:c r="G1" s="7" t="str">
        <x:v>mes</x:v>
      </x:c>
    </x:row>
    <x:row r="2">
      <x:c r="A2" t="str">
        <x:v>BR</x:v>
      </x:c>
      <x:c r="B2" t="str">
        <x:v>Brasil</x:v>
      </x:c>
      <x:c r="C2" t="n">
        <x:v>1</x:v>
      </x:c>
      <x:c r="D2" s="28" t="n">
        <x:v>46054</x:v>
      </x:c>
      <x:c r="E2" t="n">
        <x:v>100</x:v>
      </x:c>
      <x:c r="F2" t="n">
        <x:v>2026</x:v>
      </x:c>
      <x:c r="G2" t="str">
        <x:v>Fev</x:v>
      </x:c>
    </x:row>
    <x:row r="3">
      <x:c r="A3" t="str">
        <x:v>BR</x:v>
      </x:c>
      <x:c r="B3" t="str">
        <x:v>Brasil</x:v>
      </x:c>
      <x:c r="C3" t="n">
        <x:v>2</x:v>
      </x:c>
      <x:c r="D3" s="28" t="n">
        <x:v>46082</x:v>
      </x:c>
      <x:c r="E3" t="n">
        <x:v>90</x:v>
      </x:c>
      <x:c r="F3" t="n">
        <x:v>2026</x:v>
      </x:c>
      <x:c r="G3" t="str">
        <x:v>Mar</x:v>
      </x:c>
    </x:row>
    <x:row r="4">
      <x:c r="A4" t="str">
        <x:v>BR</x:v>
      </x:c>
      <x:c r="B4" t="str">
        <x:v>Brasil</x:v>
      </x:c>
      <x:c r="C4" t="n">
        <x:v>3</x:v>
      </x:c>
      <x:c r="D4" s="28" t="n">
        <x:v>45292</x:v>
      </x:c>
      <x:c r="E4" t="n">
        <x:v>88</x:v>
      </x:c>
      <x:c r="F4" t="n">
        <x:v>2024</x:v>
      </x:c>
      <x:c r="G4" t="str">
        <x:v>Jan</x:v>
      </x:c>
    </x:row>
    <x:row r="5">
      <x:c r="A5" t="str">
        <x:v>BR</x:v>
      </x:c>
      <x:c r="B5" t="str">
        <x:v>Brasil</x:v>
      </x:c>
      <x:c r="C5" t="n">
        <x:v>4</x:v>
      </x:c>
      <x:c r="D5" s="28" t="n">
        <x:v>45839</x:v>
      </x:c>
      <x:c r="E5" t="n">
        <x:v>88</x:v>
      </x:c>
      <x:c r="F5" t="n">
        <x:v>2025</x:v>
      </x:c>
      <x:c r="G5" t="str">
        <x:v>Jul</x:v>
      </x:c>
    </x:row>
    <x:row r="6">
      <x:c r="A6" t="str">
        <x:v>BR</x:v>
      </x:c>
      <x:c r="B6" t="str">
        <x:v>Brasil</x:v>
      </x:c>
      <x:c r="C6" t="n">
        <x:v>5</x:v>
      </x:c>
      <x:c r="D6" s="28" t="n">
        <x:v>46204</x:v>
      </x:c>
      <x:c r="E6" t="n">
        <x:v>87</x:v>
      </x:c>
      <x:c r="F6" t="n">
        <x:v>2026</x:v>
      </x:c>
      <x:c r="G6" t="str">
        <x:v>Jul</x:v>
      </x:c>
    </x:row>
    <x:row r="7">
      <x:c r="A7" t="str">
        <x:v>AR</x:v>
      </x:c>
      <x:c r="B7" t="str">
        <x:v>Argentina</x:v>
      </x:c>
      <x:c r="C7" t="n">
        <x:v>1</x:v>
      </x:c>
      <x:c r="D7" s="28" t="n">
        <x:v>46023</x:v>
      </x:c>
      <x:c r="E7" t="n">
        <x:v>100</x:v>
      </x:c>
      <x:c r="F7" t="n">
        <x:v>2026</x:v>
      </x:c>
      <x:c r="G7" t="str">
        <x:v>Jan</x:v>
      </x:c>
    </x:row>
    <x:row r="8">
      <x:c r="A8" t="str">
        <x:v>AR</x:v>
      </x:c>
      <x:c r="B8" t="str">
        <x:v>Argentina</x:v>
      </x:c>
      <x:c r="C8" t="n">
        <x:v>2</x:v>
      </x:c>
      <x:c r="D8" s="28" t="n">
        <x:v>45658</x:v>
      </x:c>
      <x:c r="E8" t="n">
        <x:v>97</x:v>
      </x:c>
      <x:c r="F8" t="n">
        <x:v>2025</x:v>
      </x:c>
      <x:c r="G8" t="str">
        <x:v>Jan</x:v>
      </x:c>
    </x:row>
    <x:row r="9">
      <x:c r="A9" t="str">
        <x:v>AR</x:v>
      </x:c>
      <x:c r="B9" t="str">
        <x:v>Argentina</x:v>
      </x:c>
      <x:c r="C9" t="n">
        <x:v>3</x:v>
      </x:c>
      <x:c r="D9" s="28" t="n">
        <x:v>46054</x:v>
      </x:c>
      <x:c r="E9" t="n">
        <x:v>77</x:v>
      </x:c>
      <x:c r="F9" t="n">
        <x:v>2026</x:v>
      </x:c>
      <x:c r="G9" t="str">
        <x:v>Fev</x:v>
      </x:c>
    </x:row>
    <x:row r="10">
      <x:c r="A10" t="str">
        <x:v>AR</x:v>
      </x:c>
      <x:c r="B10" t="str">
        <x:v>Argentina</x:v>
      </x:c>
      <x:c r="C10" t="n">
        <x:v>4</x:v>
      </x:c>
      <x:c r="D10" s="28" t="n">
        <x:v>45992</x:v>
      </x:c>
      <x:c r="E10" t="n">
        <x:v>73</x:v>
      </x:c>
      <x:c r="F10" t="n">
        <x:v>2025</x:v>
      </x:c>
      <x:c r="G10" t="str">
        <x:v>Dez</x:v>
      </x:c>
    </x:row>
    <x:row r="11">
      <x:c r="A11" t="str">
        <x:v>AR</x:v>
      </x:c>
      <x:c r="B11" t="str">
        <x:v>Argentina</x:v>
      </x:c>
      <x:c r="C11" t="n">
        <x:v>5</x:v>
      </x:c>
      <x:c r="D11" s="28" t="n">
        <x:v>46082</x:v>
      </x:c>
      <x:c r="E11" t="n">
        <x:v>69</x:v>
      </x:c>
      <x:c r="F11" t="n">
        <x:v>2026</x:v>
      </x:c>
      <x:c r="G11" t="str">
        <x:v>Mar</x:v>
      </x:c>
    </x:row>
    <x:row r="12">
      <x:c r="A12" t="str">
        <x:v>CL</x:v>
      </x:c>
      <x:c r="B12" t="str">
        <x:v>Chile</x:v>
      </x:c>
      <x:c r="C12" t="n">
        <x:v>1</x:v>
      </x:c>
      <x:c r="D12" s="28" t="n">
        <x:v>45689</x:v>
      </x:c>
      <x:c r="E12" t="n">
        <x:v>100</x:v>
      </x:c>
      <x:c r="F12" t="n">
        <x:v>2025</x:v>
      </x:c>
      <x:c r="G12" t="str">
        <x:v>Fev</x:v>
      </x:c>
    </x:row>
    <x:row r="13">
      <x:c r="A13" t="str">
        <x:v>CL</x:v>
      </x:c>
      <x:c r="B13" t="str">
        <x:v>Chile</x:v>
      </x:c>
      <x:c r="C13" t="n">
        <x:v>2</x:v>
      </x:c>
      <x:c r="D13" s="28" t="n">
        <x:v>45658</x:v>
      </x:c>
      <x:c r="E13" t="n">
        <x:v>88</x:v>
      </x:c>
      <x:c r="F13" t="n">
        <x:v>2025</x:v>
      </x:c>
      <x:c r="G13" t="str">
        <x:v>Jan</x:v>
      </x:c>
    </x:row>
    <x:row r="14">
      <x:c r="A14" t="str">
        <x:v>CL</x:v>
      </x:c>
      <x:c r="B14" t="str">
        <x:v>Chile</x:v>
      </x:c>
      <x:c r="C14" t="n">
        <x:v>3</x:v>
      </x:c>
      <x:c r="D14" s="28" t="n">
        <x:v>46023</x:v>
      </x:c>
      <x:c r="E14" t="n">
        <x:v>81</x:v>
      </x:c>
      <x:c r="F14" t="n">
        <x:v>2026</x:v>
      </x:c>
      <x:c r="G14" t="str">
        <x:v>Jan</x:v>
      </x:c>
    </x:row>
    <x:row r="15">
      <x:c r="A15" t="str">
        <x:v>CL</x:v>
      </x:c>
      <x:c r="B15" t="str">
        <x:v>Chile</x:v>
      </x:c>
      <x:c r="C15" t="n">
        <x:v>4</x:v>
      </x:c>
      <x:c r="D15" s="28" t="n">
        <x:v>46054</x:v>
      </x:c>
      <x:c r="E15" t="n">
        <x:v>62</x:v>
      </x:c>
      <x:c r="F15" t="n">
        <x:v>2026</x:v>
      </x:c>
      <x:c r="G15" t="str">
        <x:v>Fev</x:v>
      </x:c>
    </x:row>
    <x:row r="16">
      <x:c r="A16" t="str">
        <x:v>CL</x:v>
      </x:c>
      <x:c r="B16" t="str">
        <x:v>Chile</x:v>
      </x:c>
      <x:c r="C16" t="n">
        <x:v>5</x:v>
      </x:c>
      <x:c r="D16" s="28" t="n">
        <x:v>45292</x:v>
      </x:c>
      <x:c r="E16" t="n">
        <x:v>61</x:v>
      </x:c>
      <x:c r="F16" t="n">
        <x:v>2024</x:v>
      </x:c>
      <x:c r="G16" t="str">
        <x:v>Jan</x:v>
      </x:c>
    </x:row>
    <x:row r="17">
      <x:c r="A17" t="str">
        <x:v>CO</x:v>
      </x:c>
      <x:c r="B17" t="str">
        <x:v>Colômbia</x:v>
      </x:c>
      <x:c r="C17" t="n">
        <x:v>1</x:v>
      </x:c>
      <x:c r="D17" s="28" t="n">
        <x:v>46023</x:v>
      </x:c>
      <x:c r="E17" t="n">
        <x:v>100</x:v>
      </x:c>
      <x:c r="F17" t="n">
        <x:v>2026</x:v>
      </x:c>
      <x:c r="G17" t="str">
        <x:v>Jan</x:v>
      </x:c>
    </x:row>
    <x:row r="18">
      <x:c r="A18" t="str">
        <x:v>CO</x:v>
      </x:c>
      <x:c r="B18" t="str">
        <x:v>Colômbia</x:v>
      </x:c>
      <x:c r="C18" t="n">
        <x:v>2</x:v>
      </x:c>
      <x:c r="D18" s="28" t="n">
        <x:v>45962</x:v>
      </x:c>
      <x:c r="E18" t="n">
        <x:v>89</x:v>
      </x:c>
      <x:c r="F18" t="n">
        <x:v>2025</x:v>
      </x:c>
      <x:c r="G18" t="str">
        <x:v>Nov</x:v>
      </x:c>
    </x:row>
    <x:row r="19">
      <x:c r="A19" t="str">
        <x:v>CO</x:v>
      </x:c>
      <x:c r="B19" t="str">
        <x:v>Colômbia</x:v>
      </x:c>
      <x:c r="C19" t="n">
        <x:v>3</x:v>
      </x:c>
      <x:c r="D19" s="28" t="n">
        <x:v>45870</x:v>
      </x:c>
      <x:c r="E19" t="n">
        <x:v>85</x:v>
      </x:c>
      <x:c r="F19" t="n">
        <x:v>2025</x:v>
      </x:c>
      <x:c r="G19" t="str">
        <x:v>Ago</x:v>
      </x:c>
    </x:row>
    <x:row r="20">
      <x:c r="A20" t="str">
        <x:v>CO</x:v>
      </x:c>
      <x:c r="B20" t="str">
        <x:v>Colômbia</x:v>
      </x:c>
      <x:c r="C20" t="n">
        <x:v>4</x:v>
      </x:c>
      <x:c r="D20" s="28" t="n">
        <x:v>45901</x:v>
      </x:c>
      <x:c r="E20" t="n">
        <x:v>84</x:v>
      </x:c>
      <x:c r="F20" t="n">
        <x:v>2025</x:v>
      </x:c>
      <x:c r="G20" t="str">
        <x:v>Set</x:v>
      </x:c>
    </x:row>
    <x:row r="21">
      <x:c r="A21" t="str">
        <x:v>CO</x:v>
      </x:c>
      <x:c r="B21" t="str">
        <x:v>Colômbia</x:v>
      </x:c>
      <x:c r="C21" t="n">
        <x:v>5</x:v>
      </x:c>
      <x:c r="D21" s="28" t="n">
        <x:v>45748</x:v>
      </x:c>
      <x:c r="E21" t="n">
        <x:v>83</x:v>
      </x:c>
      <x:c r="F21" t="n">
        <x:v>2025</x:v>
      </x:c>
      <x:c r="G21" t="str">
        <x:v>Abr</x:v>
      </x:c>
    </x:row>
    <x:row r="22">
      <x:c r="A22" t="str">
        <x:v>UY</x:v>
      </x:c>
      <x:c r="B22" t="str">
        <x:v>Uruguai</x:v>
      </x:c>
      <x:c r="C22" t="n">
        <x:v>1</x:v>
      </x:c>
      <x:c r="D22" s="28" t="n">
        <x:v>45748</x:v>
      </x:c>
      <x:c r="E22" t="n">
        <x:v>100</x:v>
      </x:c>
      <x:c r="F22" t="n">
        <x:v>2025</x:v>
      </x:c>
      <x:c r="G22" t="str">
        <x:v>Abr</x:v>
      </x:c>
    </x:row>
    <x:row r="23">
      <x:c r="A23" t="str">
        <x:v>UY</x:v>
      </x:c>
      <x:c r="B23" t="str">
        <x:v>Uruguai</x:v>
      </x:c>
      <x:c r="C23" t="n">
        <x:v>2</x:v>
      </x:c>
      <x:c r="D23" s="28" t="n">
        <x:v>46023</x:v>
      </x:c>
      <x:c r="E23" t="n">
        <x:v>97</x:v>
      </x:c>
      <x:c r="F23" t="n">
        <x:v>2026</x:v>
      </x:c>
      <x:c r="G23" t="str">
        <x:v>Jan</x:v>
      </x:c>
    </x:row>
    <x:row r="24">
      <x:c r="A24" t="str">
        <x:v>UY</x:v>
      </x:c>
      <x:c r="B24" t="str">
        <x:v>Uruguai</x:v>
      </x:c>
      <x:c r="C24" t="n">
        <x:v>3</x:v>
      </x:c>
      <x:c r="D24" s="28" t="n">
        <x:v>45689</x:v>
      </x:c>
      <x:c r="E24" t="n">
        <x:v>80</x:v>
      </x:c>
      <x:c r="F24" t="n">
        <x:v>2025</x:v>
      </x:c>
      <x:c r="G24" t="str">
        <x:v>Fev</x:v>
      </x:c>
    </x:row>
    <x:row r="25">
      <x:c r="A25" t="str">
        <x:v>UY</x:v>
      </x:c>
      <x:c r="B25" t="str">
        <x:v>Uruguai</x:v>
      </x:c>
      <x:c r="C25" t="n">
        <x:v>4</x:v>
      </x:c>
      <x:c r="D25" s="28" t="n">
        <x:v>45992</x:v>
      </x:c>
      <x:c r="E25" t="n">
        <x:v>68</x:v>
      </x:c>
      <x:c r="F25" t="n">
        <x:v>2025</x:v>
      </x:c>
      <x:c r="G25" t="str">
        <x:v>Dez</x:v>
      </x:c>
    </x:row>
    <x:row r="26">
      <x:c r="A26" t="str">
        <x:v>UY</x:v>
      </x:c>
      <x:c r="B26" t="str">
        <x:v>Uruguai</x:v>
      </x:c>
      <x:c r="C26" t="n">
        <x:v>5</x:v>
      </x:c>
      <x:c r="D26" s="28" t="n">
        <x:v>45717</x:v>
      </x:c>
      <x:c r="E26" t="n">
        <x:v>67</x:v>
      </x:c>
      <x:c r="F26" t="n">
        <x:v>2025</x:v>
      </x:c>
      <x:c r="G26" t="str">
        <x:v>Mar</x:v>
      </x:c>
    </x:row>
    <x:row r="27">
      <x:c r="A27" t="str">
        <x:v>US</x:v>
      </x:c>
      <x:c r="B27" t="str">
        <x:v>Estados Unidos</x:v>
      </x:c>
      <x:c r="C27" t="n">
        <x:v>1</x:v>
      </x:c>
      <x:c r="D27" s="28" t="n">
        <x:v>46054</x:v>
      </x:c>
      <x:c r="E27" t="n">
        <x:v>100</x:v>
      </x:c>
      <x:c r="F27" t="n">
        <x:v>2026</x:v>
      </x:c>
      <x:c r="G27" t="str">
        <x:v>Fev</x:v>
      </x:c>
    </x:row>
    <x:row r="28">
      <x:c r="A28" t="str">
        <x:v>US</x:v>
      </x:c>
      <x:c r="B28" t="str">
        <x:v>Estados Unidos</x:v>
      </x:c>
      <x:c r="C28" t="n">
        <x:v>2</x:v>
      </x:c>
      <x:c r="D28" s="28" t="n">
        <x:v>46082</x:v>
      </x:c>
      <x:c r="E28" t="n">
        <x:v>97</x:v>
      </x:c>
      <x:c r="F28" t="n">
        <x:v>2026</x:v>
      </x:c>
      <x:c r="G28" t="str">
        <x:v>Mar</x:v>
      </x:c>
    </x:row>
    <x:row r="29">
      <x:c r="A29" t="str">
        <x:v>US</x:v>
      </x:c>
      <x:c r="B29" t="str">
        <x:v>Estados Unidos</x:v>
      </x:c>
      <x:c r="C29" t="n">
        <x:v>3</x:v>
      </x:c>
      <x:c r="D29" s="28" t="n">
        <x:v>46023</x:v>
      </x:c>
      <x:c r="E29" t="n">
        <x:v>86</x:v>
      </x:c>
      <x:c r="F29" t="n">
        <x:v>2026</x:v>
      </x:c>
      <x:c r="G29" t="str">
        <x:v>Jan</x:v>
      </x:c>
    </x:row>
    <x:row r="30">
      <x:c r="A30" t="str">
        <x:v>US</x:v>
      </x:c>
      <x:c r="B30" t="str">
        <x:v>Estados Unidos</x:v>
      </x:c>
      <x:c r="C30" t="n">
        <x:v>4</x:v>
      </x:c>
      <x:c r="D30" s="28" t="n">
        <x:v>45992</x:v>
      </x:c>
      <x:c r="E30" t="n">
        <x:v>79</x:v>
      </x:c>
      <x:c r="F30" t="n">
        <x:v>2025</x:v>
      </x:c>
      <x:c r="G30" t="str">
        <x:v>Dez</x:v>
      </x:c>
    </x:row>
    <x:row r="31">
      <x:c r="A31" t="str">
        <x:v>US</x:v>
      </x:c>
      <x:c r="B31" t="str">
        <x:v>Estados Unidos</x:v>
      </x:c>
      <x:c r="C31" t="n">
        <x:v>5</x:v>
      </x:c>
      <x:c r="D31" s="28" t="n">
        <x:v>46143</x:v>
      </x:c>
      <x:c r="E31" t="n">
        <x:v>79</x:v>
      </x:c>
      <x:c r="F31" t="n">
        <x:v>2026</x:v>
      </x:c>
      <x:c r="G31" t="str">
        <x:v>Mai</x:v>
      </x:c>
    </x:row>
    <x:row r="32">
      <x:c r="A32" t="str">
        <x:v>FR</x:v>
      </x:c>
      <x:c r="B32" t="str">
        <x:v>França</x:v>
      </x:c>
      <x:c r="C32" t="n">
        <x:v>1</x:v>
      </x:c>
      <x:c r="D32" s="28" t="n">
        <x:v>46054</x:v>
      </x:c>
      <x:c r="E32" t="n">
        <x:v>100</x:v>
      </x:c>
      <x:c r="F32" t="n">
        <x:v>2026</x:v>
      </x:c>
      <x:c r="G32" t="str">
        <x:v>Fev</x:v>
      </x:c>
    </x:row>
    <x:row r="33">
      <x:c r="A33" t="str">
        <x:v>FR</x:v>
      </x:c>
      <x:c r="B33" t="str">
        <x:v>França</x:v>
      </x:c>
      <x:c r="C33" t="n">
        <x:v>2</x:v>
      </x:c>
      <x:c r="D33" s="28" t="n">
        <x:v>45505</x:v>
      </x:c>
      <x:c r="E33" t="n">
        <x:v>79</x:v>
      </x:c>
      <x:c r="F33" t="n">
        <x:v>2024</x:v>
      </x:c>
      <x:c r="G33" t="str">
        <x:v>Ago</x:v>
      </x:c>
    </x:row>
    <x:row r="34">
      <x:c r="A34" t="str">
        <x:v>FR</x:v>
      </x:c>
      <x:c r="B34" t="str">
        <x:v>França</x:v>
      </x:c>
      <x:c r="C34" t="n">
        <x:v>3</x:v>
      </x:c>
      <x:c r="D34" s="28" t="n">
        <x:v>46023</x:v>
      </x:c>
      <x:c r="E34" t="n">
        <x:v>73</x:v>
      </x:c>
      <x:c r="F34" t="n">
        <x:v>2026</x:v>
      </x:c>
      <x:c r="G34" t="str">
        <x:v>Jan</x:v>
      </x:c>
    </x:row>
    <x:row r="35">
      <x:c r="A35" t="str">
        <x:v>FR</x:v>
      </x:c>
      <x:c r="B35" t="str">
        <x:v>França</x:v>
      </x:c>
      <x:c r="C35" t="n">
        <x:v>4</x:v>
      </x:c>
      <x:c r="D35" s="28" t="n">
        <x:v>45689</x:v>
      </x:c>
      <x:c r="E35" t="n">
        <x:v>68</x:v>
      </x:c>
      <x:c r="F35" t="n">
        <x:v>2025</x:v>
      </x:c>
      <x:c r="G35" t="str">
        <x:v>Fev</x:v>
      </x:c>
    </x:row>
    <x:row r="36">
      <x:c r="A36" t="str">
        <x:v>FR</x:v>
      </x:c>
      <x:c r="B36" t="str">
        <x:v>França</x:v>
      </x:c>
      <x:c r="C36" t="n">
        <x:v>5</x:v>
      </x:c>
      <x:c r="D36" s="28" t="n">
        <x:v>45323</x:v>
      </x:c>
      <x:c r="E36" t="n">
        <x:v>65</x:v>
      </x:c>
      <x:c r="F36" t="n">
        <x:v>2024</x:v>
      </x:c>
      <x:c r="G36" t="str">
        <x:v>Fev</x:v>
      </x:c>
    </x:row>
    <x:row r="37">
      <x:c r="A37" t="str">
        <x:v>WORLD</x:v>
      </x:c>
      <x:c r="B37" t="str">
        <x:v>Mundo</x:v>
      </x:c>
      <x:c r="C37" t="n">
        <x:v>1</x:v>
      </x:c>
      <x:c r="D37" s="28" t="n">
        <x:v>46023</x:v>
      </x:c>
      <x:c r="E37" t="n">
        <x:v>100</x:v>
      </x:c>
      <x:c r="F37" t="n">
        <x:v>2026</x:v>
      </x:c>
      <x:c r="G37" t="str">
        <x:v>Jan</x:v>
      </x:c>
    </x:row>
    <x:row r="38">
      <x:c r="A38" t="str">
        <x:v>WORLD</x:v>
      </x:c>
      <x:c r="B38" t="str">
        <x:v>Mundo</x:v>
      </x:c>
      <x:c r="C38" t="n">
        <x:v>2</x:v>
      </x:c>
      <x:c r="D38" s="28" t="n">
        <x:v>46054</x:v>
      </x:c>
      <x:c r="E38" t="n">
        <x:v>100</x:v>
      </x:c>
      <x:c r="F38" t="n">
        <x:v>2026</x:v>
      </x:c>
      <x:c r="G38" t="str">
        <x:v>Fev</x:v>
      </x:c>
    </x:row>
    <x:row r="39">
      <x:c r="A39" t="str">
        <x:v>WORLD</x:v>
      </x:c>
      <x:c r="B39" t="str">
        <x:v>Mundo</x:v>
      </x:c>
      <x:c r="C39" t="n">
        <x:v>3</x:v>
      </x:c>
      <x:c r="D39" s="28" t="n">
        <x:v>46082</x:v>
      </x:c>
      <x:c r="E39" t="n">
        <x:v>93</x:v>
      </x:c>
      <x:c r="F39" t="n">
        <x:v>2026</x:v>
      </x:c>
      <x:c r="G39" t="str">
        <x:v>Mar</x:v>
      </x:c>
    </x:row>
    <x:row r="40">
      <x:c r="A40" t="str">
        <x:v>WORLD</x:v>
      </x:c>
      <x:c r="B40" t="str">
        <x:v>Mundo</x:v>
      </x:c>
      <x:c r="C40" t="n">
        <x:v>4</x:v>
      </x:c>
      <x:c r="D40" s="28" t="n">
        <x:v>45717</x:v>
      </x:c>
      <x:c r="E40" t="n">
        <x:v>86</x:v>
      </x:c>
      <x:c r="F40" t="n">
        <x:v>2025</x:v>
      </x:c>
      <x:c r="G40" t="str">
        <x:v>Mar</x:v>
      </x:c>
    </x:row>
    <x:row r="41">
      <x:c r="A41" t="str">
        <x:v>WORLD</x:v>
      </x:c>
      <x:c r="B41" t="str">
        <x:v>Mundo</x:v>
      </x:c>
      <x:c r="C41" t="n">
        <x:v>5</x:v>
      </x:c>
      <x:c r="D41" s="28" t="n">
        <x:v>45658</x:v>
      </x:c>
      <x:c r="E41" t="n">
        <x:v>84</x:v>
      </x:c>
      <x:c r="F41" t="n">
        <x:v>2025</x:v>
      </x:c>
      <x:c r="G41" t="str">
        <x:v>Jan</x:v>
      </x:c>
    </x:row>
  </x:sheetData>
  <x:pageMargins left="0.7" right="0.7" top="0.75" bottom="0.75" header="0.3" footer="0.3"/>
  <x:tableParts count="1">
    <x:tablePart xmlns:r="http://schemas.openxmlformats.org/officeDocument/2006/relationships" r:id="R00e6719dd53941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3" hidden="0" customWidth="1"/>
    <x:col min="5" max="5" width="10" hidden="0" customWidth="1"/>
  </x:cols>
  <x:sheetData>
    <x:row r="1">
      <x:c r="A1" s="7" t="str">
        <x:v>pais</x:v>
      </x:c>
      <x:c r="B1" s="7" t="str">
        <x:v>indice_trends_num</x:v>
      </x:c>
      <x:c r="C1" s="7" t="str">
        <x:v>indice_trends_exibicao</x:v>
      </x:c>
      <x:c r="D1" s="7" t="str">
        <x:v>termo_google_trends</x:v>
      </x:c>
      <x:c r="E1" s="7" t="str">
        <x:v>ano</x:v>
      </x:c>
    </x:row>
    <x:row r="2">
      <x:c r="A2" t="str">
        <x:v>Brasil</x:v>
      </x:c>
      <x:c r="B2" s="22" t="n">
        <x:v>100</x:v>
      </x:c>
      <x:c r="C2" t="str">
        <x:v>100</x:v>
      </x:c>
      <x:c r="D2" t="str">
        <x:v>Pão de Açúcar</x:v>
      </x:c>
      <x:c r="E2" t="n">
        <x:v>2026</x:v>
      </x:c>
    </x:row>
    <x:row r="3">
      <x:c r="A3" t="str">
        <x:v>Chile</x:v>
      </x:c>
      <x:c r="B3" s="22" t="n">
        <x:v>38</x:v>
      </x:c>
      <x:c r="C3" t="str">
        <x:v>38</x:v>
      </x:c>
      <x:c r="D3" t="str">
        <x:v>Pão de Açúcar</x:v>
      </x:c>
      <x:c r="E3" t="n">
        <x:v>2026</x:v>
      </x:c>
    </x:row>
    <x:row r="4">
      <x:c r="A4" t="str">
        <x:v>Uruguai</x:v>
      </x:c>
      <x:c r="B4" s="22" t="n">
        <x:v>36</x:v>
      </x:c>
      <x:c r="C4" t="str">
        <x:v>36</x:v>
      </x:c>
      <x:c r="D4" t="str">
        <x:v>Pão de Açúcar</x:v>
      </x:c>
      <x:c r="E4" t="n">
        <x:v>2026</x:v>
      </x:c>
    </x:row>
    <x:row r="5">
      <x:c r="A5" t="str">
        <x:v>Argentina</x:v>
      </x:c>
      <x:c r="B5" s="22" t="n">
        <x:v>22</x:v>
      </x:c>
      <x:c r="C5" t="str">
        <x:v>22</x:v>
      </x:c>
      <x:c r="D5" t="str">
        <x:v>Pão de Açúcar</x:v>
      </x:c>
      <x:c r="E5" t="n">
        <x:v>2026</x:v>
      </x:c>
    </x:row>
    <x:row r="6">
      <x:c r="A6" t="str">
        <x:v>Paraguai</x:v>
      </x:c>
      <x:c r="B6" s="22" t="n">
        <x:v>21</x:v>
      </x:c>
      <x:c r="C6" t="str">
        <x:v>21</x:v>
      </x:c>
      <x:c r="D6" t="str">
        <x:v>Pão de Açúcar</x:v>
      </x:c>
      <x:c r="E6" t="n">
        <x:v>2026</x:v>
      </x:c>
    </x:row>
    <x:row r="7">
      <x:c r="A7" t="str">
        <x:v>Costa Rica</x:v>
      </x:c>
      <x:c r="B7" s="22" t="n">
        <x:v>17</x:v>
      </x:c>
      <x:c r="C7" t="str">
        <x:v>17</x:v>
      </x:c>
      <x:c r="D7" t="str">
        <x:v>Pão de Açúcar</x:v>
      </x:c>
      <x:c r="E7" t="n">
        <x:v>2026</x:v>
      </x:c>
    </x:row>
    <x:row r="8">
      <x:c r="A8" t="str">
        <x:v>Panamá</x:v>
      </x:c>
      <x:c r="B8" s="22" t="n">
        <x:v>13</x:v>
      </x:c>
      <x:c r="C8" t="str">
        <x:v>13</x:v>
      </x:c>
      <x:c r="D8" t="str">
        <x:v>Pão de Açúcar</x:v>
      </x:c>
      <x:c r="E8" t="n">
        <x:v>2026</x:v>
      </x:c>
    </x:row>
    <x:row r="9">
      <x:c r="A9" t="str">
        <x:v>Peru</x:v>
      </x:c>
      <x:c r="B9" s="22" t="n">
        <x:v>13</x:v>
      </x:c>
      <x:c r="C9" t="str">
        <x:v>13</x:v>
      </x:c>
      <x:c r="D9" t="str">
        <x:v>Pão de Açúcar</x:v>
      </x:c>
      <x:c r="E9" t="n">
        <x:v>2026</x:v>
      </x:c>
    </x:row>
    <x:row r="10">
      <x:c r="A10" t="str">
        <x:v>Colômbia</x:v>
      </x:c>
      <x:c r="B10" s="22" t="n">
        <x:v>12</x:v>
      </x:c>
      <x:c r="C10" t="str">
        <x:v>12</x:v>
      </x:c>
      <x:c r="D10" t="str">
        <x:v>Pão de Açúcar</x:v>
      </x:c>
      <x:c r="E10" t="n">
        <x:v>2026</x:v>
      </x:c>
    </x:row>
    <x:row r="11">
      <x:c r="A11" t="str">
        <x:v>Portugal</x:v>
      </x:c>
      <x:c r="B11" s="22" t="n">
        <x:v>11</x:v>
      </x:c>
      <x:c r="C11" t="str">
        <x:v>11</x:v>
      </x:c>
      <x:c r="D11" t="str">
        <x:v>Pão de Açúcar</x:v>
      </x:c>
      <x:c r="E11" t="n">
        <x:v>2026</x:v>
      </x:c>
    </x:row>
    <x:row r="12">
      <x:c r="A12" t="str">
        <x:v>Equador</x:v>
      </x:c>
      <x:c r="B12" s="22" t="n">
        <x:v>10</x:v>
      </x:c>
      <x:c r="C12" t="str">
        <x:v>10</x:v>
      </x:c>
      <x:c r="D12" t="str">
        <x:v>Pão de Açúcar</x:v>
      </x:c>
      <x:c r="E12" t="n">
        <x:v>2026</x:v>
      </x:c>
    </x:row>
    <x:row r="13">
      <x:c r="A13" t="str">
        <x:v>Porto Rico</x:v>
      </x:c>
      <x:c r="B13" s="22"/>
      <x:c r="C13" t="str"/>
      <x:c r="D13" t="str">
        <x:v>Pão de Açúcar</x:v>
      </x:c>
      <x:c r="E13" t="n">
        <x:v>2026</x:v>
      </x:c>
    </x:row>
    <x:row r="14">
      <x:c r="A14" t="str">
        <x:v>Bolívia</x:v>
      </x:c>
      <x:c r="B14" s="22" t="n">
        <x:v>5</x:v>
      </x:c>
      <x:c r="C14" t="str">
        <x:v>5</x:v>
      </x:c>
      <x:c r="D14" t="str">
        <x:v>Pão de Açúcar</x:v>
      </x:c>
      <x:c r="E14" t="n">
        <x:v>2026</x:v>
      </x:c>
    </x:row>
    <x:row r="15">
      <x:c r="A15" t="str">
        <x:v>Suíça</x:v>
      </x:c>
      <x:c r="B15" s="22" t="n">
        <x:v>5</x:v>
      </x:c>
      <x:c r="C15" t="str">
        <x:v>5</x:v>
      </x:c>
      <x:c r="D15" t="str">
        <x:v>Pão de Açúcar</x:v>
      </x:c>
      <x:c r="E15" t="n">
        <x:v>2026</x:v>
      </x:c>
    </x:row>
    <x:row r="16">
      <x:c r="A16" t="str">
        <x:v>Espanha</x:v>
      </x:c>
      <x:c r="B16" s="22" t="n">
        <x:v>5</x:v>
      </x:c>
      <x:c r="C16" t="str">
        <x:v>5</x:v>
      </x:c>
      <x:c r="D16" t="str">
        <x:v>Pão de Açúcar</x:v>
      </x:c>
      <x:c r="E16" t="n">
        <x:v>2026</x:v>
      </x:c>
    </x:row>
    <x:row r="17">
      <x:c r="A17" t="str">
        <x:v>Guatemala</x:v>
      </x:c>
      <x:c r="B17" s="22"/>
      <x:c r="C17" t="str"/>
      <x:c r="D17" t="str">
        <x:v>Pão de Açúcar</x:v>
      </x:c>
      <x:c r="E17" t="n">
        <x:v>2026</x:v>
      </x:c>
    </x:row>
    <x:row r="18">
      <x:c r="A18" t="str">
        <x:v>México</x:v>
      </x:c>
      <x:c r="B18" s="22" t="n">
        <x:v>4</x:v>
      </x:c>
      <x:c r="C18" t="str">
        <x:v>4</x:v>
      </x:c>
      <x:c r="D18" t="str">
        <x:v>Pão de Açúcar</x:v>
      </x:c>
      <x:c r="E18" t="n">
        <x:v>2026</x:v>
      </x:c>
    </x:row>
    <x:row r="19">
      <x:c r="A19" t="str">
        <x:v>Irlanda</x:v>
      </x:c>
      <x:c r="B19" s="22" t="n">
        <x:v>4</x:v>
      </x:c>
      <x:c r="C19" t="str">
        <x:v>4</x:v>
      </x:c>
      <x:c r="D19" t="str">
        <x:v>Pão de Açúcar</x:v>
      </x:c>
      <x:c r="E19" t="n">
        <x:v>2026</x:v>
      </x:c>
    </x:row>
    <x:row r="20">
      <x:c r="A20" t="str">
        <x:v>República Dominicana</x:v>
      </x:c>
      <x:c r="B20" s="22"/>
      <x:c r="C20" t="str"/>
      <x:c r="D20" t="str">
        <x:v>Pão de Açúcar</x:v>
      </x:c>
      <x:c r="E20" t="n">
        <x:v>2026</x:v>
      </x:c>
    </x:row>
    <x:row r="21">
      <x:c r="A21" t="str">
        <x:v>França</x:v>
      </x:c>
      <x:c r="B21" s="22" t="n">
        <x:v>3</x:v>
      </x:c>
      <x:c r="C21" t="str">
        <x:v>3</x:v>
      </x:c>
      <x:c r="D21" t="str">
        <x:v>Pão de Açúcar</x:v>
      </x:c>
      <x:c r="E21" t="n">
        <x:v>2026</x:v>
      </x:c>
    </x:row>
    <x:row r="22">
      <x:c r="A22" t="str">
        <x:v>Áustria</x:v>
      </x:c>
      <x:c r="B22" s="22" t="n">
        <x:v>3</x:v>
      </x:c>
      <x:c r="C22" t="str">
        <x:v>3</x:v>
      </x:c>
      <x:c r="D22" t="str">
        <x:v>Pão de Açúcar</x:v>
      </x:c>
      <x:c r="E22" t="n">
        <x:v>2026</x:v>
      </x:c>
    </x:row>
    <x:row r="23">
      <x:c r="A23" t="str">
        <x:v>Noruega</x:v>
      </x:c>
      <x:c r="B23" s="22" t="n">
        <x:v>2</x:v>
      </x:c>
      <x:c r="C23" t="str">
        <x:v>2</x:v>
      </x:c>
      <x:c r="D23" t="str">
        <x:v>Pão de Açúcar</x:v>
      </x:c>
      <x:c r="E23" t="n">
        <x:v>2026</x:v>
      </x:c>
    </x:row>
    <x:row r="24">
      <x:c r="A24" t="str">
        <x:v>Hungria</x:v>
      </x:c>
      <x:c r="B24" s="22" t="n">
        <x:v>2</x:v>
      </x:c>
      <x:c r="C24" t="str">
        <x:v>2</x:v>
      </x:c>
      <x:c r="D24" t="str">
        <x:v>Pão de Açúcar</x:v>
      </x:c>
      <x:c r="E24" t="n">
        <x:v>2026</x:v>
      </x:c>
    </x:row>
    <x:row r="25">
      <x:c r="A25" t="str">
        <x:v>Canadá</x:v>
      </x:c>
      <x:c r="B25" s="22" t="n">
        <x:v>2</x:v>
      </x:c>
      <x:c r="C25" t="str">
        <x:v>2</x:v>
      </x:c>
      <x:c r="D25" t="str">
        <x:v>Pão de Açúcar</x:v>
      </x:c>
      <x:c r="E25" t="n">
        <x:v>2026</x:v>
      </x:c>
    </x:row>
    <x:row r="26">
      <x:c r="A26" t="str">
        <x:v>Itália</x:v>
      </x:c>
      <x:c r="B26" s="22" t="n">
        <x:v>2</x:v>
      </x:c>
      <x:c r="C26" t="str">
        <x:v>2</x:v>
      </x:c>
      <x:c r="D26" t="str">
        <x:v>Pão de Açúcar</x:v>
      </x:c>
      <x:c r="E26" t="n">
        <x:v>2026</x:v>
      </x:c>
    </x:row>
    <x:row r="27">
      <x:c r="A27" t="str">
        <x:v>Alemanha</x:v>
      </x:c>
      <x:c r="B27" s="22" t="n">
        <x:v>2</x:v>
      </x:c>
      <x:c r="C27" t="str">
        <x:v>2</x:v>
      </x:c>
      <x:c r="D27" t="str">
        <x:v>Pão de Açúcar</x:v>
      </x:c>
      <x:c r="E27" t="n">
        <x:v>2026</x:v>
      </x:c>
    </x:row>
    <x:row r="28">
      <x:c r="A28" t="str">
        <x:v>Reino Unido</x:v>
      </x:c>
      <x:c r="B28" s="22" t="n">
        <x:v>2</x:v>
      </x:c>
      <x:c r="C28" t="str">
        <x:v>2</x:v>
      </x:c>
      <x:c r="D28" t="str">
        <x:v>Pão de Açúcar</x:v>
      </x:c>
      <x:c r="E28" t="n">
        <x:v>2026</x:v>
      </x:c>
    </x:row>
    <x:row r="29">
      <x:c r="A29" t="str">
        <x:v>Países Baixos</x:v>
      </x:c>
      <x:c r="B29" s="22" t="n">
        <x:v>2</x:v>
      </x:c>
      <x:c r="C29" t="str">
        <x:v>2</x:v>
      </x:c>
      <x:c r="D29" t="str">
        <x:v>Pão de Açúcar</x:v>
      </x:c>
      <x:c r="E29" t="n">
        <x:v>2026</x:v>
      </x:c>
    </x:row>
    <x:row r="30">
      <x:c r="A30" t="str">
        <x:v>Santa Helena</x:v>
      </x:c>
      <x:c r="B30" s="22"/>
      <x:c r="C30" t="str"/>
      <x:c r="D30" t="str">
        <x:v>Pão de Açúcar</x:v>
      </x:c>
      <x:c r="E30" t="n">
        <x:v>2026</x:v>
      </x:c>
    </x:row>
    <x:row r="31">
      <x:c r="A31" t="str">
        <x:v>Sérvia</x:v>
      </x:c>
      <x:c r="B31" s="22"/>
      <x:c r="C31" t="str"/>
      <x:c r="D31" t="str">
        <x:v>Pão de Açúcar</x:v>
      </x:c>
      <x:c r="E31" t="n">
        <x:v>2026</x:v>
      </x:c>
    </x:row>
    <x:row r="32">
      <x:c r="A32" t="str">
        <x:v>Estados Unidos</x:v>
      </x:c>
      <x:c r="B32" s="22" t="n">
        <x:v>2</x:v>
      </x:c>
      <x:c r="C32" t="str">
        <x:v>2</x:v>
      </x:c>
      <x:c r="D32" t="str">
        <x:v>Pão de Açúcar</x:v>
      </x:c>
      <x:c r="E32" t="n">
        <x:v>2026</x:v>
      </x:c>
    </x:row>
    <x:row r="33">
      <x:c r="A33" t="str">
        <x:v>Bélgica</x:v>
      </x:c>
      <x:c r="B33" s="22" t="n">
        <x:v>2</x:v>
      </x:c>
      <x:c r="C33" t="str">
        <x:v>2</x:v>
      </x:c>
      <x:c r="D33" t="str">
        <x:v>Pão de Açúcar</x:v>
      </x:c>
      <x:c r="E33" t="n">
        <x:v>2026</x:v>
      </x:c>
    </x:row>
    <x:row r="34">
      <x:c r="A34" t="str">
        <x:v>Tchéquia</x:v>
      </x:c>
      <x:c r="B34" s="22" t="n">
        <x:v>2</x:v>
      </x:c>
      <x:c r="C34" t="str">
        <x:v>2</x:v>
      </x:c>
      <x:c r="D34" t="str">
        <x:v>Pão de Açúcar</x:v>
      </x:c>
      <x:c r="E34" t="n">
        <x:v>2026</x:v>
      </x:c>
    </x:row>
    <x:row r="35">
      <x:c r="A35" t="str">
        <x:v>Venezuela</x:v>
      </x:c>
      <x:c r="B35" s="22" t="n">
        <x:v>2</x:v>
      </x:c>
      <x:c r="C35" t="str">
        <x:v>2</x:v>
      </x:c>
      <x:c r="D35" t="str">
        <x:v>Pão de Açúcar</x:v>
      </x:c>
      <x:c r="E35" t="n">
        <x:v>2026</x:v>
      </x:c>
    </x:row>
    <x:row r="36">
      <x:c r="A36" t="str">
        <x:v>Singapura</x:v>
      </x:c>
      <x:c r="B36" s="22"/>
      <x:c r="C36" t="str"/>
      <x:c r="D36" t="str">
        <x:v>Pão de Açúcar</x:v>
      </x:c>
      <x:c r="E36" t="n">
        <x:v>2026</x:v>
      </x:c>
    </x:row>
    <x:row r="37">
      <x:c r="A37" t="str">
        <x:v>Suécia</x:v>
      </x:c>
      <x:c r="B37" s="22" t="n">
        <x:v>1</x:v>
      </x:c>
      <x:c r="C37" t="str">
        <x:v>1</x:v>
      </x:c>
      <x:c r="D37" t="str">
        <x:v>Pão de Açúcar</x:v>
      </x:c>
      <x:c r="E37" t="n">
        <x:v>2026</x:v>
      </x:c>
    </x:row>
    <x:row r="38">
      <x:c r="A38" t="str">
        <x:v>Israel</x:v>
      </x:c>
      <x:c r="B38" s="22"/>
      <x:c r="C38" t="str"/>
      <x:c r="D38" t="str">
        <x:v>Pão de Açúcar</x:v>
      </x:c>
      <x:c r="E38" t="n">
        <x:v>2026</x:v>
      </x:c>
    </x:row>
    <x:row r="39">
      <x:c r="A39" t="str">
        <x:v>Austrália</x:v>
      </x:c>
      <x:c r="B39" s="22" t="n">
        <x:v>1</x:v>
      </x:c>
      <x:c r="C39" t="str">
        <x:v>1</x:v>
      </x:c>
      <x:c r="D39" t="str">
        <x:v>Pão de Açúcar</x:v>
      </x:c>
      <x:c r="E39" t="n">
        <x:v>2026</x:v>
      </x:c>
    </x:row>
    <x:row r="40">
      <x:c r="A40" t="str">
        <x:v>África do Sul</x:v>
      </x:c>
      <x:c r="B40" s="22" t="n">
        <x:v>1</x:v>
      </x:c>
      <x:c r="C40" t="str">
        <x:v>1</x:v>
      </x:c>
      <x:c r="D40" t="str">
        <x:v>Pão de Açúcar</x:v>
      </x:c>
      <x:c r="E40" t="n">
        <x:v>2026</x:v>
      </x:c>
    </x:row>
    <x:row r="41">
      <x:c r="A41" t="str">
        <x:v>Nova Zelândia</x:v>
      </x:c>
      <x:c r="B41" s="22"/>
      <x:c r="C41" t="str"/>
      <x:c r="D41" t="str">
        <x:v>Pão de Açúcar</x:v>
      </x:c>
      <x:c r="E41" t="n">
        <x:v>2026</x:v>
      </x:c>
    </x:row>
    <x:row r="42">
      <x:c r="A42" t="str">
        <x:v>Dinamarca</x:v>
      </x:c>
      <x:c r="B42" s="22"/>
      <x:c r="C42" t="str"/>
      <x:c r="D42" t="str">
        <x:v>Pão de Açúcar</x:v>
      </x:c>
      <x:c r="E42" t="n">
        <x:v>2026</x:v>
      </x:c>
    </x:row>
    <x:row r="43">
      <x:c r="A43" t="str">
        <x:v>Marrocos</x:v>
      </x:c>
      <x:c r="B43" s="22"/>
      <x:c r="C43" t="str"/>
      <x:c r="D43" t="str">
        <x:v>Pão de Açúcar</x:v>
      </x:c>
      <x:c r="E43" t="n">
        <x:v>2026</x:v>
      </x:c>
    </x:row>
    <x:row r="44">
      <x:c r="A44" t="str">
        <x:v>Romênia</x:v>
      </x:c>
      <x:c r="B44" s="22"/>
      <x:c r="C44" t="str"/>
      <x:c r="D44" t="str">
        <x:v>Pão de Açúcar</x:v>
      </x:c>
      <x:c r="E44" t="n">
        <x:v>2026</x:v>
      </x:c>
    </x:row>
    <x:row r="45">
      <x:c r="A45" t="str">
        <x:v>Polônia</x:v>
      </x:c>
      <x:c r="B45" s="22" t="n">
        <x:v>0.5</x:v>
      </x:c>
      <x:c r="C45" t="str">
        <x:v>&lt;1</x:v>
      </x:c>
      <x:c r="D45" t="str">
        <x:v>Pão de Açúcar</x:v>
      </x:c>
      <x:c r="E45" t="n">
        <x:v>2026</x:v>
      </x:c>
    </x:row>
    <x:row r="46">
      <x:c r="A46" t="str">
        <x:v>Grécia</x:v>
      </x:c>
      <x:c r="B46" s="22"/>
      <x:c r="C46" t="str"/>
      <x:c r="D46" t="str">
        <x:v>Pão de Açúcar</x:v>
      </x:c>
      <x:c r="E46" t="n">
        <x:v>2026</x:v>
      </x:c>
    </x:row>
    <x:row r="47">
      <x:c r="A47" t="str">
        <x:v>Coreia do Sul</x:v>
      </x:c>
      <x:c r="B47" s="22"/>
      <x:c r="C47" t="str"/>
      <x:c r="D47" t="str">
        <x:v>Pão de Açúcar</x:v>
      </x:c>
      <x:c r="E47" t="n">
        <x:v>2026</x:v>
      </x:c>
    </x:row>
    <x:row r="48">
      <x:c r="A48" t="str">
        <x:v>Taiwan</x:v>
      </x:c>
      <x:c r="B48" s="22"/>
      <x:c r="C48" t="str"/>
      <x:c r="D48" t="str">
        <x:v>Pão de Açúcar</x:v>
      </x:c>
      <x:c r="E48" t="n">
        <x:v>2026</x:v>
      </x:c>
    </x:row>
    <x:row r="49">
      <x:c r="A49" t="str">
        <x:v>Turquia</x:v>
      </x:c>
      <x:c r="B49" s="22"/>
      <x:c r="C49" t="str"/>
      <x:c r="D49" t="str">
        <x:v>Pão de Açúcar</x:v>
      </x:c>
      <x:c r="E49" t="n">
        <x:v>2026</x:v>
      </x:c>
    </x:row>
    <x:row r="50">
      <x:c r="A50" t="str">
        <x:v>Japão</x:v>
      </x:c>
      <x:c r="B50" s="22" t="n">
        <x:v>0.5</x:v>
      </x:c>
      <x:c r="C50" t="str">
        <x:v>&lt;1</x:v>
      </x:c>
      <x:c r="D50" t="str">
        <x:v>Pão de Açúcar</x:v>
      </x:c>
      <x:c r="E50" t="n">
        <x:v>2026</x:v>
      </x:c>
    </x:row>
    <x:row r="51">
      <x:c r="A51" t="str">
        <x:v>Filipinas</x:v>
      </x:c>
      <x:c r="B51" s="22"/>
      <x:c r="C51" t="str"/>
      <x:c r="D51" t="str">
        <x:v>Pão de Açúcar</x:v>
      </x:c>
      <x:c r="E51" t="n">
        <x:v>2026</x:v>
      </x:c>
    </x:row>
    <x:row r="52">
      <x:c r="A52" t="str">
        <x:v>Rússia</x:v>
      </x:c>
      <x:c r="B52" s="22"/>
      <x:c r="C52" t="str"/>
      <x:c r="D52" t="str">
        <x:v>Pão de Açúcar</x:v>
      </x:c>
      <x:c r="E52" t="n">
        <x:v>2026</x:v>
      </x:c>
    </x:row>
    <x:row r="53">
      <x:c r="A53" t="str">
        <x:v>Índia</x:v>
      </x:c>
      <x:c r="B53" s="22" t="n">
        <x:v>0.5</x:v>
      </x:c>
      <x:c r="C53" t="str">
        <x:v>&lt;1</x:v>
      </x:c>
      <x:c r="D53" t="str">
        <x:v>Pão de Açúcar</x:v>
      </x:c>
      <x:c r="E53" t="n">
        <x:v>2026</x:v>
      </x:c>
    </x:row>
    <x:row r="54">
      <x:c r="A54" t="str">
        <x:v>Indonésia</x:v>
      </x:c>
      <x:c r="B54" s="22"/>
      <x:c r="C54" t="str"/>
      <x:c r="D54" t="str">
        <x:v>Pão de Açúcar</x:v>
      </x:c>
      <x:c r="E54" t="n">
        <x:v>2026</x:v>
      </x:c>
    </x:row>
    <x:row r="55">
      <x:c r="A55" t="str">
        <x:v>Malásia</x:v>
      </x:c>
      <x:c r="B55" s="22"/>
      <x:c r="C55" t="str"/>
      <x:c r="D55" t="str">
        <x:v>Pão de Açúcar</x:v>
      </x:c>
      <x:c r="E55" t="n">
        <x:v>2026</x:v>
      </x:c>
    </x:row>
    <x:row r="56">
      <x:c r="A56" t="str">
        <x:v>Vietnã</x:v>
      </x:c>
      <x:c r="B56" s="22"/>
      <x:c r="C56" t="str"/>
      <x:c r="D56" t="str">
        <x:v>Pão de Açúcar</x:v>
      </x:c>
      <x:c r="E56" t="n">
        <x:v>2026</x:v>
      </x:c>
    </x:row>
    <x:row r="57">
      <x:c r="A57" t="str">
        <x:v>Tailândia</x:v>
      </x:c>
      <x:c r="B57" s="22"/>
      <x:c r="C57" t="str"/>
      <x:c r="D57" t="str">
        <x:v>Pão de Açúcar</x:v>
      </x:c>
      <x:c r="E57" t="n">
        <x:v>2026</x:v>
      </x:c>
    </x:row>
    <x:row r="58">
      <x:c r="A58" t="str">
        <x:v>Líbano</x:v>
      </x:c>
      <x:c r="B58" s="22"/>
      <x:c r="C58" t="str"/>
      <x:c r="D58" t="str">
        <x:v>Pão de Açúcar</x:v>
      </x:c>
      <x:c r="E58" t="n">
        <x:v>2026</x:v>
      </x:c>
    </x:row>
    <x:row r="59">
      <x:c r="A59" t="str">
        <x:v>Zimbábue</x:v>
      </x:c>
      <x:c r="B59" s="22"/>
      <x:c r="C59" t="str"/>
      <x:c r="D59" t="str">
        <x:v>Pão de Açúcar</x:v>
      </x:c>
      <x:c r="E59" t="n">
        <x:v>2026</x:v>
      </x:c>
    </x:row>
    <x:row r="60">
      <x:c r="A60" t="str">
        <x:v>Ilhas Cayman</x:v>
      </x:c>
      <x:c r="B60" s="22"/>
      <x:c r="C60" t="str"/>
      <x:c r="D60" t="str">
        <x:v>Pão de Açúcar</x:v>
      </x:c>
      <x:c r="E60" t="n">
        <x:v>2026</x:v>
      </x:c>
    </x:row>
    <x:row r="61">
      <x:c r="A61" t="str">
        <x:v>Ilha Christmas</x:v>
      </x:c>
      <x:c r="B61" s="22"/>
      <x:c r="C61" t="str"/>
      <x:c r="D61" t="str">
        <x:v>Pão de Açúcar</x:v>
      </x:c>
      <x:c r="E61" t="n">
        <x:v>2026</x:v>
      </x:c>
    </x:row>
    <x:row r="62">
      <x:c r="A62" t="str">
        <x:v>Djibuti</x:v>
      </x:c>
      <x:c r="B62" s="22"/>
      <x:c r="C62" t="str"/>
      <x:c r="D62" t="str">
        <x:v>Pão de Açúcar</x:v>
      </x:c>
      <x:c r="E62" t="n">
        <x:v>2026</x:v>
      </x:c>
    </x:row>
    <x:row r="63">
      <x:c r="A63" t="str">
        <x:v>Dominica</x:v>
      </x:c>
      <x:c r="B63" s="22"/>
      <x:c r="C63" t="str"/>
      <x:c r="D63" t="str">
        <x:v>Pão de Açúcar</x:v>
      </x:c>
      <x:c r="E63" t="n">
        <x:v>2026</x:v>
      </x:c>
    </x:row>
    <x:row r="64">
      <x:c r="A64" t="str">
        <x:v>Curaçao</x:v>
      </x:c>
      <x:c r="B64" s="22"/>
      <x:c r="C64" t="str"/>
      <x:c r="D64" t="str">
        <x:v>Pão de Açúcar</x:v>
      </x:c>
      <x:c r="E64" t="n">
        <x:v>2026</x:v>
      </x:c>
    </x:row>
    <x:row r="65">
      <x:c r="A65" t="str">
        <x:v>Cuba</x:v>
      </x:c>
      <x:c r="B65" s="22"/>
      <x:c r="C65" t="str"/>
      <x:c r="D65" t="str">
        <x:v>Pão de Açúcar</x:v>
      </x:c>
      <x:c r="E65" t="n">
        <x:v>2026</x:v>
      </x:c>
    </x:row>
    <x:row r="66">
      <x:c r="A66" t="str">
        <x:v>Argélia</x:v>
      </x:c>
      <x:c r="B66" s="22"/>
      <x:c r="C66" t="str"/>
      <x:c r="D66" t="str">
        <x:v>Pão de Açúcar</x:v>
      </x:c>
      <x:c r="E66" t="n">
        <x:v>2026</x:v>
      </x:c>
    </x:row>
    <x:row r="67">
      <x:c r="A67" t="str">
        <x:v>Cabo Verde</x:v>
      </x:c>
      <x:c r="B67" s="22"/>
      <x:c r="C67" t="str"/>
      <x:c r="D67" t="str">
        <x:v>Pão de Açúcar</x:v>
      </x:c>
      <x:c r="E67" t="n">
        <x:v>2026</x:v>
      </x:c>
    </x:row>
    <x:row r="68">
      <x:c r="A68" t="str">
        <x:v>Egito</x:v>
      </x:c>
      <x:c r="B68" s="22"/>
      <x:c r="C68" t="str"/>
      <x:c r="D68" t="str">
        <x:v>Pão de Açúcar</x:v>
      </x:c>
      <x:c r="E68" t="n">
        <x:v>2026</x:v>
      </x:c>
    </x:row>
    <x:row r="69">
      <x:c r="A69" t="str">
        <x:v>Eritreia</x:v>
      </x:c>
      <x:c r="B69" s="22"/>
      <x:c r="C69" t="str"/>
      <x:c r="D69" t="str">
        <x:v>Pão de Açúcar</x:v>
      </x:c>
      <x:c r="E69" t="n">
        <x:v>2026</x:v>
      </x:c>
    </x:row>
    <x:row r="70">
      <x:c r="A70" t="str">
        <x:v>Saara Ocidental</x:v>
      </x:c>
      <x:c r="B70" s="22"/>
      <x:c r="C70" t="str"/>
      <x:c r="D70" t="str">
        <x:v>Pão de Açúcar</x:v>
      </x:c>
      <x:c r="E70" t="n">
        <x:v>2026</x:v>
      </x:c>
    </x:row>
    <x:row r="71">
      <x:c r="A71" t="str">
        <x:v>Comores</x:v>
      </x:c>
      <x:c r="B71" s="22"/>
      <x:c r="C71" t="str"/>
      <x:c r="D71" t="str">
        <x:v>Pão de Açúcar</x:v>
      </x:c>
      <x:c r="E71" t="n">
        <x:v>2026</x:v>
      </x:c>
    </x:row>
    <x:row r="72">
      <x:c r="A72" t="str">
        <x:v>Estônia</x:v>
      </x:c>
      <x:c r="B72" s="22"/>
      <x:c r="C72" t="str"/>
      <x:c r="D72" t="str">
        <x:v>Pão de Açúcar</x:v>
      </x:c>
      <x:c r="E72" t="n">
        <x:v>2026</x:v>
      </x:c>
    </x:row>
    <x:row r="73">
      <x:c r="A73" t="str">
        <x:v>Etiópia</x:v>
      </x:c>
      <x:c r="B73" s="22"/>
      <x:c r="C73" t="str"/>
      <x:c r="D73" t="str">
        <x:v>Pão de Açúcar</x:v>
      </x:c>
      <x:c r="E73" t="n">
        <x:v>2026</x:v>
      </x:c>
    </x:row>
    <x:row r="74">
      <x:c r="A74" t="str">
        <x:v>Finlândia</x:v>
      </x:c>
      <x:c r="B74" s="22"/>
      <x:c r="C74" t="str"/>
      <x:c r="D74" t="str">
        <x:v>Pão de Açúcar</x:v>
      </x:c>
      <x:c r="E74" t="n">
        <x:v>2026</x:v>
      </x:c>
    </x:row>
    <x:row r="75">
      <x:c r="A75" t="str">
        <x:v>Fiji</x:v>
      </x:c>
      <x:c r="B75" s="22"/>
      <x:c r="C75" t="str"/>
      <x:c r="D75" t="str">
        <x:v>Pão de Açúcar</x:v>
      </x:c>
      <x:c r="E75" t="n">
        <x:v>2026</x:v>
      </x:c>
    </x:row>
    <x:row r="76">
      <x:c r="A76" t="str">
        <x:v>Ilhas Malvinas (Ilhas Falkland)</x:v>
      </x:c>
      <x:c r="B76" s="22"/>
      <x:c r="C76" t="str"/>
      <x:c r="D76" t="str">
        <x:v>Pão de Açúcar</x:v>
      </x:c>
      <x:c r="E76" t="n">
        <x:v>2026</x:v>
      </x:c>
    </x:row>
    <x:row r="77">
      <x:c r="A77" t="str">
        <x:v>Ilhas Cook</x:v>
      </x:c>
      <x:c r="B77" s="22"/>
      <x:c r="C77" t="str"/>
      <x:c r="D77" t="str">
        <x:v>Pão de Açúcar</x:v>
      </x:c>
      <x:c r="E77" t="n">
        <x:v>2026</x:v>
      </x:c>
    </x:row>
    <x:row r="78">
      <x:c r="A78" t="str">
        <x:v>Ilhas Faroé</x:v>
      </x:c>
      <x:c r="B78" s="22"/>
      <x:c r="C78" t="str"/>
      <x:c r="D78" t="str">
        <x:v>Pão de Açúcar</x:v>
      </x:c>
      <x:c r="E78" t="n">
        <x:v>2026</x:v>
      </x:c>
    </x:row>
    <x:row r="79">
      <x:c r="A79" t="str">
        <x:v>Micronésia</x:v>
      </x:c>
      <x:c r="B79" s="22"/>
      <x:c r="C79" t="str"/>
      <x:c r="D79" t="str">
        <x:v>Pão de Açúcar</x:v>
      </x:c>
      <x:c r="E79" t="n">
        <x:v>2026</x:v>
      </x:c>
    </x:row>
    <x:row r="80">
      <x:c r="A80" t="str">
        <x:v>Gabão</x:v>
      </x:c>
      <x:c r="B80" s="22"/>
      <x:c r="C80" t="str"/>
      <x:c r="D80" t="str">
        <x:v>Pão de Açúcar</x:v>
      </x:c>
      <x:c r="E80" t="n">
        <x:v>2026</x:v>
      </x:c>
    </x:row>
    <x:row r="81">
      <x:c r="A81" t="str">
        <x:v>República do Congo</x:v>
      </x:c>
      <x:c r="B81" s="22"/>
      <x:c r="C81" t="str"/>
      <x:c r="D81" t="str">
        <x:v>Pão de Açúcar</x:v>
      </x:c>
      <x:c r="E81" t="n">
        <x:v>2026</x:v>
      </x:c>
    </x:row>
    <x:row r="82">
      <x:c r="A82" t="str">
        <x:v>Geórgia</x:v>
      </x:c>
      <x:c r="B82" s="22"/>
      <x:c r="C82" t="str"/>
      <x:c r="D82" t="str">
        <x:v>Pão de Açúcar</x:v>
      </x:c>
      <x:c r="E82" t="n">
        <x:v>2026</x:v>
      </x:c>
    </x:row>
    <x:row r="83">
      <x:c r="A83" t="str">
        <x:v>Guernsey</x:v>
      </x:c>
      <x:c r="B83" s="22"/>
      <x:c r="C83" t="str"/>
      <x:c r="D83" t="str">
        <x:v>Pão de Açúcar</x:v>
      </x:c>
      <x:c r="E83" t="n">
        <x:v>2026</x:v>
      </x:c>
    </x:row>
    <x:row r="84">
      <x:c r="A84" t="str">
        <x:v>Gana</x:v>
      </x:c>
      <x:c r="B84" s="22"/>
      <x:c r="C84" t="str"/>
      <x:c r="D84" t="str">
        <x:v>Pão de Açúcar</x:v>
      </x:c>
      <x:c r="E84" t="n">
        <x:v>2026</x:v>
      </x:c>
    </x:row>
    <x:row r="85">
      <x:c r="A85" t="str">
        <x:v>Gibraltar</x:v>
      </x:c>
      <x:c r="B85" s="22"/>
      <x:c r="C85" t="str"/>
      <x:c r="D85" t="str">
        <x:v>Pão de Açúcar</x:v>
      </x:c>
      <x:c r="E85" t="n">
        <x:v>2026</x:v>
      </x:c>
    </x:row>
    <x:row r="86">
      <x:c r="A86" t="str">
        <x:v>Guiné</x:v>
      </x:c>
      <x:c r="B86" s="22"/>
      <x:c r="C86" t="str"/>
      <x:c r="D86" t="str">
        <x:v>Pão de Açúcar</x:v>
      </x:c>
      <x:c r="E86" t="n">
        <x:v>2026</x:v>
      </x:c>
    </x:row>
    <x:row r="87">
      <x:c r="A87" t="str">
        <x:v>Guadalupe</x:v>
      </x:c>
      <x:c r="B87" s="22"/>
      <x:c r="C87" t="str"/>
      <x:c r="D87" t="str">
        <x:v>Pão de Açúcar</x:v>
      </x:c>
      <x:c r="E87" t="n">
        <x:v>2026</x:v>
      </x:c>
    </x:row>
    <x:row r="88">
      <x:c r="A88" t="str">
        <x:v>Gâmbia</x:v>
      </x:c>
      <x:c r="B88" s="22"/>
      <x:c r="C88" t="str"/>
      <x:c r="D88" t="str">
        <x:v>Pão de Açúcar</x:v>
      </x:c>
      <x:c r="E88" t="n">
        <x:v>2026</x:v>
      </x:c>
    </x:row>
    <x:row r="89">
      <x:c r="A89" t="str">
        <x:v>Guiné-Bissau</x:v>
      </x:c>
      <x:c r="B89" s="22"/>
      <x:c r="C89" t="str"/>
      <x:c r="D89" t="str">
        <x:v>Pão de Açúcar</x:v>
      </x:c>
      <x:c r="E89" t="n">
        <x:v>2026</x:v>
      </x:c>
    </x:row>
    <x:row r="90">
      <x:c r="A90" t="str">
        <x:v>Guiné Equatorial</x:v>
      </x:c>
      <x:c r="B90" s="22"/>
      <x:c r="C90" t="str"/>
      <x:c r="D90" t="str">
        <x:v>Pão de Açúcar</x:v>
      </x:c>
      <x:c r="E90" t="n">
        <x:v>2026</x:v>
      </x:c>
    </x:row>
    <x:row r="91">
      <x:c r="A91" t="str">
        <x:v>Congo - Kinshasa</x:v>
      </x:c>
      <x:c r="B91" s="22"/>
      <x:c r="C91" t="str"/>
      <x:c r="D91" t="str">
        <x:v>Pão de Açúcar</x:v>
      </x:c>
      <x:c r="E91" t="n">
        <x:v>2026</x:v>
      </x:c>
    </x:row>
    <x:row r="92">
      <x:c r="A92" t="str">
        <x:v>Granada</x:v>
      </x:c>
      <x:c r="B92" s="22"/>
      <x:c r="C92" t="str"/>
      <x:c r="D92" t="str">
        <x:v>Pão de Açúcar</x:v>
      </x:c>
      <x:c r="E92" t="n">
        <x:v>2026</x:v>
      </x:c>
    </x:row>
    <x:row r="93">
      <x:c r="A93" t="str">
        <x:v>Groenlândia</x:v>
      </x:c>
      <x:c r="B93" s="22"/>
      <x:c r="C93" t="str"/>
      <x:c r="D93" t="str">
        <x:v>Pão de Açúcar</x:v>
      </x:c>
      <x:c r="E93" t="n">
        <x:v>2026</x:v>
      </x:c>
    </x:row>
    <x:row r="94">
      <x:c r="A94" t="str">
        <x:v>Camarões</x:v>
      </x:c>
      <x:c r="B94" s="22"/>
      <x:c r="C94" t="str"/>
      <x:c r="D94" t="str">
        <x:v>Pão de Açúcar</x:v>
      </x:c>
      <x:c r="E94" t="n">
        <x:v>2026</x:v>
      </x:c>
    </x:row>
    <x:row r="95">
      <x:c r="A95" t="str">
        <x:v>Guiana Francesa</x:v>
      </x:c>
      <x:c r="B95" s="22"/>
      <x:c r="C95" t="str"/>
      <x:c r="D95" t="str">
        <x:v>Pão de Açúcar</x:v>
      </x:c>
      <x:c r="E95" t="n">
        <x:v>2026</x:v>
      </x:c>
    </x:row>
    <x:row r="96">
      <x:c r="A96" t="str">
        <x:v>Guam</x:v>
      </x:c>
      <x:c r="B96" s="22"/>
      <x:c r="C96" t="str"/>
      <x:c r="D96" t="str">
        <x:v>Pão de Açúcar</x:v>
      </x:c>
      <x:c r="E96" t="n">
        <x:v>2026</x:v>
      </x:c>
    </x:row>
    <x:row r="97">
      <x:c r="A97" t="str">
        <x:v>Guiana</x:v>
      </x:c>
      <x:c r="B97" s="22"/>
      <x:c r="C97" t="str"/>
      <x:c r="D97" t="str">
        <x:v>Pão de Açúcar</x:v>
      </x:c>
      <x:c r="E97" t="n">
        <x:v>2026</x:v>
      </x:c>
    </x:row>
    <x:row r="98">
      <x:c r="A98" t="str">
        <x:v>Hong Kong</x:v>
      </x:c>
      <x:c r="B98" s="22"/>
      <x:c r="C98" t="str"/>
      <x:c r="D98" t="str">
        <x:v>Pão de Açúcar</x:v>
      </x:c>
      <x:c r="E98" t="n">
        <x:v>2026</x:v>
      </x:c>
    </x:row>
    <x:row r="99">
      <x:c r="A99" t="str">
        <x:v>Ilhas Heard e McDonald</x:v>
      </x:c>
      <x:c r="B99" s="22"/>
      <x:c r="C99" t="str"/>
      <x:c r="D99" t="str">
        <x:v>Pão de Açúcar</x:v>
      </x:c>
      <x:c r="E99" t="n">
        <x:v>2026</x:v>
      </x:c>
    </x:row>
    <x:row r="100">
      <x:c r="A100" t="str">
        <x:v>Honduras</x:v>
      </x:c>
      <x:c r="B100" s="22"/>
      <x:c r="C100" t="str"/>
      <x:c r="D100" t="str">
        <x:v>Pão de Açúcar</x:v>
      </x:c>
      <x:c r="E100" t="n">
        <x:v>2026</x:v>
      </x:c>
    </x:row>
    <x:row r="101">
      <x:c r="A101" t="str">
        <x:v>Croácia</x:v>
      </x:c>
      <x:c r="B101" s="22"/>
      <x:c r="C101" t="str"/>
      <x:c r="D101" t="str">
        <x:v>Pão de Açúcar</x:v>
      </x:c>
      <x:c r="E101" t="n">
        <x:v>2026</x:v>
      </x:c>
    </x:row>
    <x:row r="102">
      <x:c r="A102" t="str">
        <x:v>Haiti</x:v>
      </x:c>
      <x:c r="B102" s="22"/>
      <x:c r="C102" t="str"/>
      <x:c r="D102" t="str">
        <x:v>Pão de Açúcar</x:v>
      </x:c>
      <x:c r="E102" t="n">
        <x:v>2026</x:v>
      </x:c>
    </x:row>
    <x:row r="103">
      <x:c r="A103" t="str">
        <x:v>Costa do Marfim</x:v>
      </x:c>
      <x:c r="B103" s="22"/>
      <x:c r="C103" t="str"/>
      <x:c r="D103" t="str">
        <x:v>Pão de Açúcar</x:v>
      </x:c>
      <x:c r="E103" t="n">
        <x:v>2026</x:v>
      </x:c>
    </x:row>
    <x:row r="104">
      <x:c r="A104" t="str">
        <x:v>China</x:v>
      </x:c>
      <x:c r="B104" s="22"/>
      <x:c r="C104" t="str"/>
      <x:c r="D104" t="str">
        <x:v>Pão de Açúcar</x:v>
      </x:c>
      <x:c r="E104" t="n">
        <x:v>2026</x:v>
      </x:c>
    </x:row>
    <x:row r="105">
      <x:c r="A105" t="str">
        <x:v>Ilha de Man</x:v>
      </x:c>
      <x:c r="B105" s="22"/>
      <x:c r="C105" t="str"/>
      <x:c r="D105" t="str">
        <x:v>Pão de Açúcar</x:v>
      </x:c>
      <x:c r="E105" t="n">
        <x:v>2026</x:v>
      </x:c>
    </x:row>
    <x:row r="106">
      <x:c r="A106" t="str">
        <x:v>Ilhas Cocos (Keeling)</x:v>
      </x:c>
      <x:c r="B106" s="22"/>
      <x:c r="C106" t="str"/>
      <x:c r="D106" t="str">
        <x:v>Pão de Açúcar</x:v>
      </x:c>
      <x:c r="E106" t="n">
        <x:v>2026</x:v>
      </x:c>
    </x:row>
    <x:row r="107">
      <x:c r="A107" t="str">
        <x:v>Território Britânico do Oceano Índico</x:v>
      </x:c>
      <x:c r="B107" s="22"/>
      <x:c r="C107" t="str"/>
      <x:c r="D107" t="str">
        <x:v>Pão de Açúcar</x:v>
      </x:c>
      <x:c r="E107" t="n">
        <x:v>2026</x:v>
      </x:c>
    </x:row>
    <x:row r="108">
      <x:c r="A108" t="str">
        <x:v>República Centro-Africana</x:v>
      </x:c>
      <x:c r="B108" s="22"/>
      <x:c r="C108" t="str"/>
      <x:c r="D108" t="str">
        <x:v>Pão de Açúcar</x:v>
      </x:c>
      <x:c r="E108" t="n">
        <x:v>2026</x:v>
      </x:c>
    </x:row>
    <x:row r="109">
      <x:c r="A109" t="str">
        <x:v>Irã</x:v>
      </x:c>
      <x:c r="B109" s="22"/>
      <x:c r="C109" t="str"/>
      <x:c r="D109" t="str">
        <x:v>Pão de Açúcar</x:v>
      </x:c>
      <x:c r="E109" t="n">
        <x:v>2026</x:v>
      </x:c>
    </x:row>
    <x:row r="110">
      <x:c r="A110" t="str">
        <x:v>Iraque</x:v>
      </x:c>
      <x:c r="B110" s="22"/>
      <x:c r="C110" t="str"/>
      <x:c r="D110" t="str">
        <x:v>Pão de Açúcar</x:v>
      </x:c>
      <x:c r="E110" t="n">
        <x:v>2026</x:v>
      </x:c>
    </x:row>
    <x:row r="111">
      <x:c r="A111" t="str">
        <x:v>Islândia</x:v>
      </x:c>
      <x:c r="B111" s="22"/>
      <x:c r="C111" t="str"/>
      <x:c r="D111" t="str">
        <x:v>Pão de Açúcar</x:v>
      </x:c>
      <x:c r="E111" t="n">
        <x:v>2026</x:v>
      </x:c>
    </x:row>
    <x:row r="112">
      <x:c r="A112" t="str">
        <x:v>Botsuana</x:v>
      </x:c>
      <x:c r="B112" s="22"/>
      <x:c r="C112" t="str"/>
      <x:c r="D112" t="str">
        <x:v>Pão de Açúcar</x:v>
      </x:c>
      <x:c r="E112" t="n">
        <x:v>2026</x:v>
      </x:c>
    </x:row>
    <x:row r="113">
      <x:c r="A113" t="str">
        <x:v>Ilha Bouvet</x:v>
      </x:c>
      <x:c r="B113" s="22"/>
      <x:c r="C113" t="str"/>
      <x:c r="D113" t="str">
        <x:v>Pão de Açúcar</x:v>
      </x:c>
      <x:c r="E113" t="n">
        <x:v>2026</x:v>
      </x:c>
    </x:row>
    <x:row r="114">
      <x:c r="A114" t="str">
        <x:v>Jamaica</x:v>
      </x:c>
      <x:c r="B114" s="22"/>
      <x:c r="C114" t="str"/>
      <x:c r="D114" t="str">
        <x:v>Pão de Açúcar</x:v>
      </x:c>
      <x:c r="E114" t="n">
        <x:v>2026</x:v>
      </x:c>
    </x:row>
    <x:row r="115">
      <x:c r="A115" t="str">
        <x:v>Jersey</x:v>
      </x:c>
      <x:c r="B115" s="22"/>
      <x:c r="C115" t="str"/>
      <x:c r="D115" t="str">
        <x:v>Pão de Açúcar</x:v>
      </x:c>
      <x:c r="E115" t="n">
        <x:v>2026</x:v>
      </x:c>
    </x:row>
    <x:row r="116">
      <x:c r="A116" t="str">
        <x:v>Jordânia</x:v>
      </x:c>
      <x:c r="B116" s="22"/>
      <x:c r="C116" t="str"/>
      <x:c r="D116" t="str">
        <x:v>Pão de Açúcar</x:v>
      </x:c>
      <x:c r="E116" t="n">
        <x:v>2026</x:v>
      </x:c>
    </x:row>
    <x:row r="117">
      <x:c r="A117" t="str">
        <x:v>Butão</x:v>
      </x:c>
      <x:c r="B117" s="22"/>
      <x:c r="C117" t="str"/>
      <x:c r="D117" t="str">
        <x:v>Pão de Açúcar</x:v>
      </x:c>
      <x:c r="E117" t="n">
        <x:v>2026</x:v>
      </x:c>
    </x:row>
    <x:row r="118">
      <x:c r="A118" t="str">
        <x:v>Cazaquistão</x:v>
      </x:c>
      <x:c r="B118" s="22"/>
      <x:c r="C118" t="str"/>
      <x:c r="D118" t="str">
        <x:v>Pão de Açúcar</x:v>
      </x:c>
      <x:c r="E118" t="n">
        <x:v>2026</x:v>
      </x:c>
    </x:row>
    <x:row r="119">
      <x:c r="A119" t="str">
        <x:v>Quênia</x:v>
      </x:c>
      <x:c r="B119" s="22"/>
      <x:c r="C119" t="str"/>
      <x:c r="D119" t="str">
        <x:v>Pão de Açúcar</x:v>
      </x:c>
      <x:c r="E119" t="n">
        <x:v>2026</x:v>
      </x:c>
    </x:row>
    <x:row r="120">
      <x:c r="A120" t="str">
        <x:v>Quirguistão</x:v>
      </x:c>
      <x:c r="B120" s="22"/>
      <x:c r="C120" t="str"/>
      <x:c r="D120" t="str">
        <x:v>Pão de Açúcar</x:v>
      </x:c>
      <x:c r="E120" t="n">
        <x:v>2026</x:v>
      </x:c>
    </x:row>
    <x:row r="121">
      <x:c r="A121" t="str">
        <x:v>Camboja</x:v>
      </x:c>
      <x:c r="B121" s="22"/>
      <x:c r="C121" t="str"/>
      <x:c r="D121" t="str">
        <x:v>Pão de Açúcar</x:v>
      </x:c>
      <x:c r="E121" t="n">
        <x:v>2026</x:v>
      </x:c>
    </x:row>
    <x:row r="122">
      <x:c r="A122" t="str">
        <x:v>Quiribati</x:v>
      </x:c>
      <x:c r="B122" s="22"/>
      <x:c r="C122" t="str"/>
      <x:c r="D122" t="str">
        <x:v>Pão de Açúcar</x:v>
      </x:c>
      <x:c r="E122" t="n">
        <x:v>2026</x:v>
      </x:c>
    </x:row>
    <x:row r="123">
      <x:c r="A123" t="str">
        <x:v>São Cristóvão e Névis</x:v>
      </x:c>
      <x:c r="B123" s="22"/>
      <x:c r="C123" t="str"/>
      <x:c r="D123" t="str">
        <x:v>Pão de Açúcar</x:v>
      </x:c>
      <x:c r="E123" t="n">
        <x:v>2026</x:v>
      </x:c>
    </x:row>
    <x:row r="124">
      <x:c r="A124" t="str">
        <x:v>Brunei</x:v>
      </x:c>
      <x:c r="B124" s="22"/>
      <x:c r="C124" t="str"/>
      <x:c r="D124" t="str">
        <x:v>Pão de Açúcar</x:v>
      </x:c>
      <x:c r="E124" t="n">
        <x:v>2026</x:v>
      </x:c>
    </x:row>
    <x:row r="125">
      <x:c r="A125" t="str">
        <x:v>Kuwait</x:v>
      </x:c>
      <x:c r="B125" s="22"/>
      <x:c r="C125" t="str"/>
      <x:c r="D125" t="str">
        <x:v>Pão de Açúcar</x:v>
      </x:c>
      <x:c r="E125" t="n">
        <x:v>2026</x:v>
      </x:c>
    </x:row>
    <x:row r="126">
      <x:c r="A126" t="str">
        <x:v>Laos</x:v>
      </x:c>
      <x:c r="B126" s="22"/>
      <x:c r="C126" t="str"/>
      <x:c r="D126" t="str">
        <x:v>Pão de Açúcar</x:v>
      </x:c>
      <x:c r="E126" t="n">
        <x:v>2026</x:v>
      </x:c>
    </x:row>
    <x:row r="127">
      <x:c r="A127" t="str">
        <x:v>Aruba</x:v>
      </x:c>
      <x:c r="B127" s="22"/>
      <x:c r="C127" t="str"/>
      <x:c r="D127" t="str">
        <x:v>Pão de Açúcar</x:v>
      </x:c>
      <x:c r="E127" t="n">
        <x:v>2026</x:v>
      </x:c>
    </x:row>
    <x:row r="128">
      <x:c r="A128" t="str">
        <x:v>Angola</x:v>
      </x:c>
      <x:c r="B128" s="22"/>
      <x:c r="C128" t="str"/>
      <x:c r="D128" t="str">
        <x:v>Pão de Açúcar</x:v>
      </x:c>
      <x:c r="E128" t="n">
        <x:v>2026</x:v>
      </x:c>
    </x:row>
    <x:row r="129">
      <x:c r="A129" t="str">
        <x:v>Líbia</x:v>
      </x:c>
      <x:c r="B129" s="22"/>
      <x:c r="C129" t="str"/>
      <x:c r="D129" t="str">
        <x:v>Pão de Açúcar</x:v>
      </x:c>
      <x:c r="E129" t="n">
        <x:v>2026</x:v>
      </x:c>
    </x:row>
    <x:row r="130">
      <x:c r="A130" t="str">
        <x:v>Santa Lúcia</x:v>
      </x:c>
      <x:c r="B130" s="22"/>
      <x:c r="C130" t="str"/>
      <x:c r="D130" t="str">
        <x:v>Pão de Açúcar</x:v>
      </x:c>
      <x:c r="E130" t="n">
        <x:v>2026</x:v>
      </x:c>
    </x:row>
    <x:row r="131">
      <x:c r="A131" t="str">
        <x:v>Liechtenstein</x:v>
      </x:c>
      <x:c r="B131" s="22"/>
      <x:c r="C131" t="str"/>
      <x:c r="D131" t="str">
        <x:v>Pão de Açúcar</x:v>
      </x:c>
      <x:c r="E131" t="n">
        <x:v>2026</x:v>
      </x:c>
    </x:row>
    <x:row r="132">
      <x:c r="A132" t="str">
        <x:v>Sri Lanka</x:v>
      </x:c>
      <x:c r="B132" s="22"/>
      <x:c r="C132" t="str"/>
      <x:c r="D132" t="str">
        <x:v>Pão de Açúcar</x:v>
      </x:c>
      <x:c r="E132" t="n">
        <x:v>2026</x:v>
      </x:c>
    </x:row>
    <x:row r="133">
      <x:c r="A133" t="str">
        <x:v>Lesoto</x:v>
      </x:c>
      <x:c r="B133" s="22"/>
      <x:c r="C133" t="str"/>
      <x:c r="D133" t="str">
        <x:v>Pão de Açúcar</x:v>
      </x:c>
      <x:c r="E133" t="n">
        <x:v>2026</x:v>
      </x:c>
    </x:row>
    <x:row r="134">
      <x:c r="A134" t="str">
        <x:v>Lituânia</x:v>
      </x:c>
      <x:c r="B134" s="22"/>
      <x:c r="C134" t="str"/>
      <x:c r="D134" t="str">
        <x:v>Pão de Açúcar</x:v>
      </x:c>
      <x:c r="E134" t="n">
        <x:v>2026</x:v>
      </x:c>
    </x:row>
    <x:row r="135">
      <x:c r="A135" t="str">
        <x:v>Luxemburgo</x:v>
      </x:c>
      <x:c r="B135" s="22"/>
      <x:c r="C135" t="str"/>
      <x:c r="D135" t="str">
        <x:v>Pão de Açúcar</x:v>
      </x:c>
      <x:c r="E135" t="n">
        <x:v>2026</x:v>
      </x:c>
    </x:row>
    <x:row r="136">
      <x:c r="A136" t="str">
        <x:v>Letônia</x:v>
      </x:c>
      <x:c r="B136" s="22"/>
      <x:c r="C136" t="str"/>
      <x:c r="D136" t="str">
        <x:v>Pão de Açúcar</x:v>
      </x:c>
      <x:c r="E136" t="n">
        <x:v>2026</x:v>
      </x:c>
    </x:row>
    <x:row r="137">
      <x:c r="A137" t="str">
        <x:v>Macau</x:v>
      </x:c>
      <x:c r="B137" s="22"/>
      <x:c r="C137" t="str"/>
      <x:c r="D137" t="str">
        <x:v>Pão de Açúcar</x:v>
      </x:c>
      <x:c r="E137" t="n">
        <x:v>2026</x:v>
      </x:c>
    </x:row>
    <x:row r="138">
      <x:c r="A138" t="str">
        <x:v>São Martinho</x:v>
      </x:c>
      <x:c r="B138" s="22"/>
      <x:c r="C138" t="str"/>
      <x:c r="D138" t="str">
        <x:v>Pão de Açúcar</x:v>
      </x:c>
      <x:c r="E138" t="n">
        <x:v>2026</x:v>
      </x:c>
    </x:row>
    <x:row r="139">
      <x:c r="A139" t="str">
        <x:v>Barbados</x:v>
      </x:c>
      <x:c r="B139" s="22"/>
      <x:c r="C139" t="str"/>
      <x:c r="D139" t="str">
        <x:v>Pão de Açúcar</x:v>
      </x:c>
      <x:c r="E139" t="n">
        <x:v>2026</x:v>
      </x:c>
    </x:row>
    <x:row r="140">
      <x:c r="A140" t="str">
        <x:v>Mônaco</x:v>
      </x:c>
      <x:c r="B140" s="22"/>
      <x:c r="C140" t="str"/>
      <x:c r="D140" t="str">
        <x:v>Pão de Açúcar</x:v>
      </x:c>
      <x:c r="E140" t="n">
        <x:v>2026</x:v>
      </x:c>
    </x:row>
    <x:row r="141">
      <x:c r="A141" t="str">
        <x:v>Moldávia</x:v>
      </x:c>
      <x:c r="B141" s="22"/>
      <x:c r="C141" t="str"/>
      <x:c r="D141" t="str">
        <x:v>Pão de Açúcar</x:v>
      </x:c>
      <x:c r="E141" t="n">
        <x:v>2026</x:v>
      </x:c>
    </x:row>
    <x:row r="142">
      <x:c r="A142" t="str">
        <x:v>Madagascar</x:v>
      </x:c>
      <x:c r="B142" s="22"/>
      <x:c r="C142" t="str"/>
      <x:c r="D142" t="str">
        <x:v>Pão de Açúcar</x:v>
      </x:c>
      <x:c r="E142" t="n">
        <x:v>2026</x:v>
      </x:c>
    </x:row>
    <x:row r="143">
      <x:c r="A143" t="str">
        <x:v>Maldivas</x:v>
      </x:c>
      <x:c r="B143" s="22"/>
      <x:c r="C143" t="str"/>
      <x:c r="D143" t="str">
        <x:v>Pão de Açúcar</x:v>
      </x:c>
      <x:c r="E143" t="n">
        <x:v>2026</x:v>
      </x:c>
    </x:row>
    <x:row r="144">
      <x:c r="A144" t="str">
        <x:v>Bermudas</x:v>
      </x:c>
      <x:c r="B144" s="22"/>
      <x:c r="C144" t="str"/>
      <x:c r="D144" t="str">
        <x:v>Pão de Açúcar</x:v>
      </x:c>
      <x:c r="E144" t="n">
        <x:v>2026</x:v>
      </x:c>
    </x:row>
    <x:row r="145">
      <x:c r="A145" t="str">
        <x:v>Ilhas Marshall</x:v>
      </x:c>
      <x:c r="B145" s="22"/>
      <x:c r="C145" t="str"/>
      <x:c r="D145" t="str">
        <x:v>Pão de Açúcar</x:v>
      </x:c>
      <x:c r="E145" t="n">
        <x:v>2026</x:v>
      </x:c>
    </x:row>
    <x:row r="146">
      <x:c r="A146" t="str">
        <x:v>Macedônia do Norte</x:v>
      </x:c>
      <x:c r="B146" s="22"/>
      <x:c r="C146" t="str"/>
      <x:c r="D146" t="str">
        <x:v>Pão de Açúcar</x:v>
      </x:c>
      <x:c r="E146" t="n">
        <x:v>2026</x:v>
      </x:c>
    </x:row>
    <x:row r="147">
      <x:c r="A147" t="str">
        <x:v>Mali</x:v>
      </x:c>
      <x:c r="B147" s="22"/>
      <x:c r="C147" t="str"/>
      <x:c r="D147" t="str">
        <x:v>Pão de Açúcar</x:v>
      </x:c>
      <x:c r="E147" t="n">
        <x:v>2026</x:v>
      </x:c>
    </x:row>
    <x:row r="148">
      <x:c r="A148" t="str">
        <x:v>Malta</x:v>
      </x:c>
      <x:c r="B148" s="22"/>
      <x:c r="C148" t="str"/>
      <x:c r="D148" t="str">
        <x:v>Pão de Açúcar</x:v>
      </x:c>
      <x:c r="E148" t="n">
        <x:v>2026</x:v>
      </x:c>
    </x:row>
    <x:row r="149">
      <x:c r="A149" t="str">
        <x:v>Mianmar (Birmânia)</x:v>
      </x:c>
      <x:c r="B149" s="22"/>
      <x:c r="C149" t="str"/>
      <x:c r="D149" t="str">
        <x:v>Pão de Açúcar</x:v>
      </x:c>
      <x:c r="E149" t="n">
        <x:v>2026</x:v>
      </x:c>
    </x:row>
    <x:row r="150">
      <x:c r="A150" t="str">
        <x:v>Montenegro</x:v>
      </x:c>
      <x:c r="B150" s="22"/>
      <x:c r="C150" t="str"/>
      <x:c r="D150" t="str">
        <x:v>Pão de Açúcar</x:v>
      </x:c>
      <x:c r="E150" t="n">
        <x:v>2026</x:v>
      </x:c>
    </x:row>
    <x:row r="151">
      <x:c r="A151" t="str">
        <x:v>Mongólia</x:v>
      </x:c>
      <x:c r="B151" s="22"/>
      <x:c r="C151" t="str"/>
      <x:c r="D151" t="str">
        <x:v>Pão de Açúcar</x:v>
      </x:c>
      <x:c r="E151" t="n">
        <x:v>2026</x:v>
      </x:c>
    </x:row>
    <x:row r="152">
      <x:c r="A152" t="str">
        <x:v>Ilhas Marianas do Norte</x:v>
      </x:c>
      <x:c r="B152" s="22"/>
      <x:c r="C152" t="str"/>
      <x:c r="D152" t="str">
        <x:v>Pão de Açúcar</x:v>
      </x:c>
      <x:c r="E152" t="n">
        <x:v>2026</x:v>
      </x:c>
    </x:row>
    <x:row r="153">
      <x:c r="A153" t="str">
        <x:v>Moçambique</x:v>
      </x:c>
      <x:c r="B153" s="22"/>
      <x:c r="C153" t="str"/>
      <x:c r="D153" t="str">
        <x:v>Pão de Açúcar</x:v>
      </x:c>
      <x:c r="E153" t="n">
        <x:v>2026</x:v>
      </x:c>
    </x:row>
    <x:row r="154">
      <x:c r="A154" t="str">
        <x:v>Mauritânia</x:v>
      </x:c>
      <x:c r="B154" s="22"/>
      <x:c r="C154" t="str"/>
      <x:c r="D154" t="str">
        <x:v>Pão de Açúcar</x:v>
      </x:c>
      <x:c r="E154" t="n">
        <x:v>2026</x:v>
      </x:c>
    </x:row>
    <x:row r="155">
      <x:c r="A155" t="str">
        <x:v>Chipre</x:v>
      </x:c>
      <x:c r="B155" s="22"/>
      <x:c r="C155" t="str"/>
      <x:c r="D155" t="str">
        <x:v>Pão de Açúcar</x:v>
      </x:c>
      <x:c r="E155" t="n">
        <x:v>2026</x:v>
      </x:c>
    </x:row>
    <x:row r="156">
      <x:c r="A156" t="str">
        <x:v>Martinica</x:v>
      </x:c>
      <x:c r="B156" s="22"/>
      <x:c r="C156" t="str"/>
      <x:c r="D156" t="str">
        <x:v>Pão de Açúcar</x:v>
      </x:c>
      <x:c r="E156" t="n">
        <x:v>2026</x:v>
      </x:c>
    </x:row>
    <x:row r="157">
      <x:c r="A157" t="str">
        <x:v>Maurício</x:v>
      </x:c>
      <x:c r="B157" s="22"/>
      <x:c r="C157" t="str"/>
      <x:c r="D157" t="str">
        <x:v>Pão de Açúcar</x:v>
      </x:c>
      <x:c r="E157" t="n">
        <x:v>2026</x:v>
      </x:c>
    </x:row>
    <x:row r="158">
      <x:c r="A158" t="str">
        <x:v>Malaui</x:v>
      </x:c>
      <x:c r="B158" s="22"/>
      <x:c r="C158" t="str"/>
      <x:c r="D158" t="str">
        <x:v>Pão de Açúcar</x:v>
      </x:c>
      <x:c r="E158" t="n">
        <x:v>2026</x:v>
      </x:c>
    </x:row>
    <x:row r="159">
      <x:c r="A159" t="str">
        <x:v>Belize</x:v>
      </x:c>
      <x:c r="B159" s="22"/>
      <x:c r="C159" t="str"/>
      <x:c r="D159" t="str">
        <x:v>Pão de Açúcar</x:v>
      </x:c>
      <x:c r="E159" t="n">
        <x:v>2026</x:v>
      </x:c>
    </x:row>
    <x:row r="160">
      <x:c r="A160" t="str">
        <x:v>Mayotte</x:v>
      </x:c>
      <x:c r="B160" s="22"/>
      <x:c r="C160" t="str"/>
      <x:c r="D160" t="str">
        <x:v>Pão de Açúcar</x:v>
      </x:c>
      <x:c r="E160" t="n">
        <x:v>2026</x:v>
      </x:c>
    </x:row>
    <x:row r="161">
      <x:c r="A161" t="str">
        <x:v>Namíbia</x:v>
      </x:c>
      <x:c r="B161" s="22"/>
      <x:c r="C161" t="str"/>
      <x:c r="D161" t="str">
        <x:v>Pão de Açúcar</x:v>
      </x:c>
      <x:c r="E161" t="n">
        <x:v>2026</x:v>
      </x:c>
    </x:row>
    <x:row r="162">
      <x:c r="A162" t="str">
        <x:v>Nova Caledônia</x:v>
      </x:c>
      <x:c r="B162" s="22"/>
      <x:c r="C162" t="str"/>
      <x:c r="D162" t="str">
        <x:v>Pão de Açúcar</x:v>
      </x:c>
      <x:c r="E162" t="n">
        <x:v>2026</x:v>
      </x:c>
    </x:row>
    <x:row r="163">
      <x:c r="A163" t="str">
        <x:v>Níger</x:v>
      </x:c>
      <x:c r="B163" s="22"/>
      <x:c r="C163" t="str"/>
      <x:c r="D163" t="str">
        <x:v>Pão de Açúcar</x:v>
      </x:c>
      <x:c r="E163" t="n">
        <x:v>2026</x:v>
      </x:c>
    </x:row>
    <x:row r="164">
      <x:c r="A164" t="str">
        <x:v>Ilha Norfolk</x:v>
      </x:c>
      <x:c r="B164" s="22"/>
      <x:c r="C164" t="str"/>
      <x:c r="D164" t="str">
        <x:v>Pão de Açúcar</x:v>
      </x:c>
      <x:c r="E164" t="n">
        <x:v>2026</x:v>
      </x:c>
    </x:row>
    <x:row r="165">
      <x:c r="A165" t="str">
        <x:v>Nigéria</x:v>
      </x:c>
      <x:c r="B165" s="22"/>
      <x:c r="C165" t="str"/>
      <x:c r="D165" t="str">
        <x:v>Pão de Açúcar</x:v>
      </x:c>
      <x:c r="E165" t="n">
        <x:v>2026</x:v>
      </x:c>
    </x:row>
    <x:row r="166">
      <x:c r="A166" t="str">
        <x:v>Nicarágua</x:v>
      </x:c>
      <x:c r="B166" s="22"/>
      <x:c r="C166" t="str"/>
      <x:c r="D166" t="str">
        <x:v>Pão de Açúcar</x:v>
      </x:c>
      <x:c r="E166" t="n">
        <x:v>2026</x:v>
      </x:c>
    </x:row>
    <x:row r="167">
      <x:c r="A167" t="str">
        <x:v>Niue</x:v>
      </x:c>
      <x:c r="B167" s="22"/>
      <x:c r="C167" t="str"/>
      <x:c r="D167" t="str">
        <x:v>Pão de Açúcar</x:v>
      </x:c>
      <x:c r="E167" t="n">
        <x:v>2026</x:v>
      </x:c>
    </x:row>
    <x:row r="168">
      <x:c r="A168" t="str">
        <x:v>Bielorrússia</x:v>
      </x:c>
      <x:c r="B168" s="22"/>
      <x:c r="C168" t="str"/>
      <x:c r="D168" t="str">
        <x:v>Pão de Açúcar</x:v>
      </x:c>
      <x:c r="E168" t="n">
        <x:v>2026</x:v>
      </x:c>
    </x:row>
    <x:row r="169">
      <x:c r="A169" t="str">
        <x:v>São Bartolomeu</x:v>
      </x:c>
      <x:c r="B169" s="22"/>
      <x:c r="C169" t="str"/>
      <x:c r="D169" t="str">
        <x:v>Pão de Açúcar</x:v>
      </x:c>
      <x:c r="E169" t="n">
        <x:v>2026</x:v>
      </x:c>
    </x:row>
    <x:row r="170">
      <x:c r="A170" t="str">
        <x:v>Nepal</x:v>
      </x:c>
      <x:c r="B170" s="22"/>
      <x:c r="C170" t="str"/>
      <x:c r="D170" t="str">
        <x:v>Pão de Açúcar</x:v>
      </x:c>
      <x:c r="E170" t="n">
        <x:v>2026</x:v>
      </x:c>
    </x:row>
    <x:row r="171">
      <x:c r="A171" t="str">
        <x:v>Nauru</x:v>
      </x:c>
      <x:c r="B171" s="22"/>
      <x:c r="C171" t="str"/>
      <x:c r="D171" t="str">
        <x:v>Pão de Açúcar</x:v>
      </x:c>
      <x:c r="E171" t="n">
        <x:v>2026</x:v>
      </x:c>
    </x:row>
    <x:row r="172">
      <x:c r="A172" t="str">
        <x:v>Bósnia e Herzegovina</x:v>
      </x:c>
      <x:c r="B172" s="22"/>
      <x:c r="C172" t="str"/>
      <x:c r="D172" t="str">
        <x:v>Pão de Açúcar</x:v>
      </x:c>
      <x:c r="E172" t="n">
        <x:v>2026</x:v>
      </x:c>
    </x:row>
    <x:row r="173">
      <x:c r="A173" t="str">
        <x:v>Omã</x:v>
      </x:c>
      <x:c r="B173" s="22"/>
      <x:c r="C173" t="str"/>
      <x:c r="D173" t="str">
        <x:v>Pão de Açúcar</x:v>
      </x:c>
      <x:c r="E173" t="n">
        <x:v>2026</x:v>
      </x:c>
    </x:row>
    <x:row r="174">
      <x:c r="A174" t="str">
        <x:v>Paquistão</x:v>
      </x:c>
      <x:c r="B174" s="22"/>
      <x:c r="C174" t="str"/>
      <x:c r="D174" t="str">
        <x:v>Pão de Açúcar</x:v>
      </x:c>
      <x:c r="E174" t="n">
        <x:v>2026</x:v>
      </x:c>
    </x:row>
    <x:row r="175">
      <x:c r="A175" t="str">
        <x:v>Bahamas</x:v>
      </x:c>
      <x:c r="B175" s="22"/>
      <x:c r="C175" t="str"/>
      <x:c r="D175" t="str">
        <x:v>Pão de Açúcar</x:v>
      </x:c>
      <x:c r="E175" t="n">
        <x:v>2026</x:v>
      </x:c>
    </x:row>
    <x:row r="176">
      <x:c r="A176" t="str">
        <x:v>Ilhas Pitcairn</x:v>
      </x:c>
      <x:c r="B176" s="22"/>
      <x:c r="C176" t="str"/>
      <x:c r="D176" t="str">
        <x:v>Pão de Açúcar</x:v>
      </x:c>
      <x:c r="E176" t="n">
        <x:v>2026</x:v>
      </x:c>
    </x:row>
    <x:row r="177">
      <x:c r="A177" t="str">
        <x:v>Barein</x:v>
      </x:c>
      <x:c r="B177" s="22"/>
      <x:c r="C177" t="str"/>
      <x:c r="D177" t="str">
        <x:v>Pão de Açúcar</x:v>
      </x:c>
      <x:c r="E177" t="n">
        <x:v>2026</x:v>
      </x:c>
    </x:row>
    <x:row r="178">
      <x:c r="A178" t="str">
        <x:v>Bulgária</x:v>
      </x:c>
      <x:c r="B178" s="22"/>
      <x:c r="C178" t="str"/>
      <x:c r="D178" t="str">
        <x:v>Pão de Açúcar</x:v>
      </x:c>
      <x:c r="E178" t="n">
        <x:v>2026</x:v>
      </x:c>
    </x:row>
    <x:row r="179">
      <x:c r="A179" t="str">
        <x:v>Palau</x:v>
      </x:c>
      <x:c r="B179" s="22"/>
      <x:c r="C179" t="str"/>
      <x:c r="D179" t="str">
        <x:v>Pão de Açúcar</x:v>
      </x:c>
      <x:c r="E179" t="n">
        <x:v>2026</x:v>
      </x:c>
    </x:row>
    <x:row r="180">
      <x:c r="A180" t="str">
        <x:v>Papua-Nova Guiné</x:v>
      </x:c>
      <x:c r="B180" s="22"/>
      <x:c r="C180" t="str"/>
      <x:c r="D180" t="str">
        <x:v>Pão de Açúcar</x:v>
      </x:c>
      <x:c r="E180" t="n">
        <x:v>2026</x:v>
      </x:c>
    </x:row>
    <x:row r="181">
      <x:c r="A181" t="str">
        <x:v>Bangladesh</x:v>
      </x:c>
      <x:c r="B181" s="22"/>
      <x:c r="C181" t="str"/>
      <x:c r="D181" t="str">
        <x:v>Pão de Açúcar</x:v>
      </x:c>
      <x:c r="E181" t="n">
        <x:v>2026</x:v>
      </x:c>
    </x:row>
    <x:row r="182">
      <x:c r="A182" t="str">
        <x:v>Burquina Faso</x:v>
      </x:c>
      <x:c r="B182" s="22"/>
      <x:c r="C182" t="str"/>
      <x:c r="D182" t="str">
        <x:v>Pão de Açúcar</x:v>
      </x:c>
      <x:c r="E182" t="n">
        <x:v>2026</x:v>
      </x:c>
    </x:row>
    <x:row r="183">
      <x:c r="A183" t="str">
        <x:v>Coreia do Norte</x:v>
      </x:c>
      <x:c r="B183" s="22"/>
      <x:c r="C183" t="str"/>
      <x:c r="D183" t="str">
        <x:v>Pão de Açúcar</x:v>
      </x:c>
      <x:c r="E183" t="n">
        <x:v>2026</x:v>
      </x:c>
    </x:row>
    <x:row r="184">
      <x:c r="A184" t="str">
        <x:v>Países Baixos Caribenhos</x:v>
      </x:c>
      <x:c r="B184" s="22"/>
      <x:c r="C184" t="str"/>
      <x:c r="D184" t="str">
        <x:v>Pão de Açúcar</x:v>
      </x:c>
      <x:c r="E184" t="n">
        <x:v>2026</x:v>
      </x:c>
    </x:row>
    <x:row r="185">
      <x:c r="A185" t="str">
        <x:v>Benin</x:v>
      </x:c>
      <x:c r="B185" s="22"/>
      <x:c r="C185" t="str"/>
      <x:c r="D185" t="str">
        <x:v>Pão de Açúcar</x:v>
      </x:c>
      <x:c r="E185" t="n">
        <x:v>2026</x:v>
      </x:c>
    </x:row>
    <x:row r="186">
      <x:c r="A186" t="str">
        <x:v>Palestina</x:v>
      </x:c>
      <x:c r="B186" s="22"/>
      <x:c r="C186" t="str"/>
      <x:c r="D186" t="str">
        <x:v>Pão de Açúcar</x:v>
      </x:c>
      <x:c r="E186" t="n">
        <x:v>2026</x:v>
      </x:c>
    </x:row>
    <x:row r="187">
      <x:c r="A187" t="str">
        <x:v>Polinésia Francesa</x:v>
      </x:c>
      <x:c r="B187" s="22"/>
      <x:c r="C187" t="str"/>
      <x:c r="D187" t="str">
        <x:v>Pão de Açúcar</x:v>
      </x:c>
      <x:c r="E187" t="n">
        <x:v>2026</x:v>
      </x:c>
    </x:row>
    <x:row r="188">
      <x:c r="A188" t="str">
        <x:v>Catar</x:v>
      </x:c>
      <x:c r="B188" s="22"/>
      <x:c r="C188" t="str"/>
      <x:c r="D188" t="str">
        <x:v>Pão de Açúcar</x:v>
      </x:c>
      <x:c r="E188" t="n">
        <x:v>2026</x:v>
      </x:c>
    </x:row>
    <x:row r="189">
      <x:c r="A189" t="str">
        <x:v>Reunião</x:v>
      </x:c>
      <x:c r="B189" s="22"/>
      <x:c r="C189" t="str"/>
      <x:c r="D189" t="str">
        <x:v>Pão de Açúcar</x:v>
      </x:c>
      <x:c r="E189" t="n">
        <x:v>2026</x:v>
      </x:c>
    </x:row>
    <x:row r="190">
      <x:c r="A190" t="str">
        <x:v>Burundi</x:v>
      </x:c>
      <x:c r="B190" s="22"/>
      <x:c r="C190" t="str"/>
      <x:c r="D190" t="str">
        <x:v>Pão de Açúcar</x:v>
      </x:c>
      <x:c r="E190" t="n">
        <x:v>2026</x:v>
      </x:c>
    </x:row>
    <x:row r="191">
      <x:c r="A191" t="str">
        <x:v>Azerbaijão</x:v>
      </x:c>
      <x:c r="B191" s="22"/>
      <x:c r="C191" t="str"/>
      <x:c r="D191" t="str">
        <x:v>Pão de Açúcar</x:v>
      </x:c>
      <x:c r="E191" t="n">
        <x:v>2026</x:v>
      </x:c>
    </x:row>
    <x:row r="192">
      <x:c r="A192" t="str">
        <x:v>Ruanda</x:v>
      </x:c>
      <x:c r="B192" s="22"/>
      <x:c r="C192" t="str"/>
      <x:c r="D192" t="str">
        <x:v>Pão de Açúcar</x:v>
      </x:c>
      <x:c r="E192" t="n">
        <x:v>2026</x:v>
      </x:c>
    </x:row>
    <x:row r="193">
      <x:c r="A193" t="str">
        <x:v>Arábia Saudita</x:v>
      </x:c>
      <x:c r="B193" s="22"/>
      <x:c r="C193" t="str"/>
      <x:c r="D193" t="str">
        <x:v>Pão de Açúcar</x:v>
      </x:c>
      <x:c r="E193" t="n">
        <x:v>2026</x:v>
      </x:c>
    </x:row>
    <x:row r="194">
      <x:c r="A194" t="str">
        <x:v>Sudão</x:v>
      </x:c>
      <x:c r="B194" s="22"/>
      <x:c r="C194" t="str"/>
      <x:c r="D194" t="str">
        <x:v>Pão de Açúcar</x:v>
      </x:c>
      <x:c r="E194" t="n">
        <x:v>2026</x:v>
      </x:c>
    </x:row>
    <x:row r="195">
      <x:c r="A195" t="str">
        <x:v>Senegal</x:v>
      </x:c>
      <x:c r="B195" s="22"/>
      <x:c r="C195" t="str"/>
      <x:c r="D195" t="str">
        <x:v>Pão de Açúcar</x:v>
      </x:c>
      <x:c r="E195" t="n">
        <x:v>2026</x:v>
      </x:c>
    </x:row>
    <x:row r="196">
      <x:c r="A196" t="str">
        <x:v>Antígua e Barbuda</x:v>
      </x:c>
      <x:c r="B196" s="22"/>
      <x:c r="C196" t="str"/>
      <x:c r="D196" t="str">
        <x:v>Pão de Açúcar</x:v>
      </x:c>
      <x:c r="E196" t="n">
        <x:v>2026</x:v>
      </x:c>
    </x:row>
    <x:row r="197">
      <x:c r="A197" t="str">
        <x:v>Ilhas Geórgia do Sul e Sandwich do Sul</x:v>
      </x:c>
      <x:c r="B197" s="22"/>
      <x:c r="C197" t="str"/>
      <x:c r="D197" t="str">
        <x:v>Pão de Açúcar</x:v>
      </x:c>
      <x:c r="E197" t="n">
        <x:v>2026</x:v>
      </x:c>
    </x:row>
    <x:row r="198">
      <x:c r="A198" t="str">
        <x:v>Territórios Franceses do Sul</x:v>
      </x:c>
      <x:c r="B198" s="22"/>
      <x:c r="C198" t="str"/>
      <x:c r="D198" t="str">
        <x:v>Pão de Açúcar</x:v>
      </x:c>
      <x:c r="E198" t="n">
        <x:v>2026</x:v>
      </x:c>
    </x:row>
    <x:row r="199">
      <x:c r="A199" t="str">
        <x:v>Svalbard e Jan Mayen</x:v>
      </x:c>
      <x:c r="B199" s="22"/>
      <x:c r="C199" t="str"/>
      <x:c r="D199" t="str">
        <x:v>Pão de Açúcar</x:v>
      </x:c>
      <x:c r="E199" t="n">
        <x:v>2026</x:v>
      </x:c>
    </x:row>
    <x:row r="200">
      <x:c r="A200" t="str">
        <x:v>Ilhas Salomão</x:v>
      </x:c>
      <x:c r="B200" s="22"/>
      <x:c r="C200" t="str"/>
      <x:c r="D200" t="str">
        <x:v>Pão de Açúcar</x:v>
      </x:c>
      <x:c r="E200" t="n">
        <x:v>2026</x:v>
      </x:c>
    </x:row>
    <x:row r="201">
      <x:c r="A201" t="str">
        <x:v>Serra Leoa</x:v>
      </x:c>
      <x:c r="B201" s="22"/>
      <x:c r="C201" t="str"/>
      <x:c r="D201" t="str">
        <x:v>Pão de Açúcar</x:v>
      </x:c>
      <x:c r="E201" t="n">
        <x:v>2026</x:v>
      </x:c>
    </x:row>
    <x:row r="202">
      <x:c r="A202" t="str">
        <x:v>El Salvador</x:v>
      </x:c>
      <x:c r="B202" s="22"/>
      <x:c r="C202" t="str"/>
      <x:c r="D202" t="str">
        <x:v>Pão de Açúcar</x:v>
      </x:c>
      <x:c r="E202" t="n">
        <x:v>2026</x:v>
      </x:c>
    </x:row>
    <x:row r="203">
      <x:c r="A203" t="str">
        <x:v>San Marino</x:v>
      </x:c>
      <x:c r="B203" s="22"/>
      <x:c r="C203" t="str"/>
      <x:c r="D203" t="str">
        <x:v>Pão de Açúcar</x:v>
      </x:c>
      <x:c r="E203" t="n">
        <x:v>2026</x:v>
      </x:c>
    </x:row>
    <x:row r="204">
      <x:c r="A204" t="str">
        <x:v>Somália</x:v>
      </x:c>
      <x:c r="B204" s="22"/>
      <x:c r="C204" t="str"/>
      <x:c r="D204" t="str">
        <x:v>Pão de Açúcar</x:v>
      </x:c>
      <x:c r="E204" t="n">
        <x:v>2026</x:v>
      </x:c>
    </x:row>
    <x:row r="205">
      <x:c r="A205" t="str">
        <x:v>São Pedro e Miquelão</x:v>
      </x:c>
      <x:c r="B205" s="22"/>
      <x:c r="C205" t="str"/>
      <x:c r="D205" t="str">
        <x:v>Pão de Açúcar</x:v>
      </x:c>
      <x:c r="E205" t="n">
        <x:v>2026</x:v>
      </x:c>
    </x:row>
    <x:row r="206">
      <x:c r="A206" t="str">
        <x:v>Antártida</x:v>
      </x:c>
      <x:c r="B206" s="22"/>
      <x:c r="C206" t="str"/>
      <x:c r="D206" t="str">
        <x:v>Pão de Açúcar</x:v>
      </x:c>
      <x:c r="E206" t="n">
        <x:v>2026</x:v>
      </x:c>
    </x:row>
    <x:row r="207">
      <x:c r="A207" t="str">
        <x:v>Sudão do Sul</x:v>
      </x:c>
      <x:c r="B207" s="22"/>
      <x:c r="C207" t="str"/>
      <x:c r="D207" t="str">
        <x:v>Pão de Açúcar</x:v>
      </x:c>
      <x:c r="E207" t="n">
        <x:v>2026</x:v>
      </x:c>
    </x:row>
    <x:row r="208">
      <x:c r="A208" t="str">
        <x:v>São Tomé e Príncipe</x:v>
      </x:c>
      <x:c r="B208" s="22"/>
      <x:c r="C208" t="str"/>
      <x:c r="D208" t="str">
        <x:v>Pão de Açúcar</x:v>
      </x:c>
      <x:c r="E208" t="n">
        <x:v>2026</x:v>
      </x:c>
    </x:row>
    <x:row r="209">
      <x:c r="A209" t="str">
        <x:v>Suriname</x:v>
      </x:c>
      <x:c r="B209" s="22"/>
      <x:c r="C209" t="str"/>
      <x:c r="D209" t="str">
        <x:v>Pão de Açúcar</x:v>
      </x:c>
      <x:c r="E209" t="n">
        <x:v>2026</x:v>
      </x:c>
    </x:row>
    <x:row r="210">
      <x:c r="A210" t="str">
        <x:v>Eslováquia</x:v>
      </x:c>
      <x:c r="B210" s="22"/>
      <x:c r="C210" t="str"/>
      <x:c r="D210" t="str">
        <x:v>Pão de Açúcar</x:v>
      </x:c>
      <x:c r="E210" t="n">
        <x:v>2026</x:v>
      </x:c>
    </x:row>
    <x:row r="211">
      <x:c r="A211" t="str">
        <x:v>Eslovênia</x:v>
      </x:c>
      <x:c r="B211" s="22"/>
      <x:c r="C211" t="str"/>
      <x:c r="D211" t="str">
        <x:v>Pão de Açúcar</x:v>
      </x:c>
      <x:c r="E211" t="n">
        <x:v>2026</x:v>
      </x:c>
    </x:row>
    <x:row r="212">
      <x:c r="A212" t="str">
        <x:v>Samoa Americana</x:v>
      </x:c>
      <x:c r="B212" s="22"/>
      <x:c r="C212" t="str"/>
      <x:c r="D212" t="str">
        <x:v>Pão de Açúcar</x:v>
      </x:c>
      <x:c r="E212" t="n">
        <x:v>2026</x:v>
      </x:c>
    </x:row>
    <x:row r="213">
      <x:c r="A213" t="str">
        <x:v>Essuatíni</x:v>
      </x:c>
      <x:c r="B213" s="22"/>
      <x:c r="C213" t="str"/>
      <x:c r="D213" t="str">
        <x:v>Pão de Açúcar</x:v>
      </x:c>
      <x:c r="E213" t="n">
        <x:v>2026</x:v>
      </x:c>
    </x:row>
    <x:row r="214">
      <x:c r="A214" t="str">
        <x:v>Sint Maarten</x:v>
      </x:c>
      <x:c r="B214" s="22"/>
      <x:c r="C214" t="str"/>
      <x:c r="D214" t="str">
        <x:v>Pão de Açúcar</x:v>
      </x:c>
      <x:c r="E214" t="n">
        <x:v>2026</x:v>
      </x:c>
    </x:row>
    <x:row r="215">
      <x:c r="A215" t="str">
        <x:v>Seicheles</x:v>
      </x:c>
      <x:c r="B215" s="22"/>
      <x:c r="C215" t="str"/>
      <x:c r="D215" t="str">
        <x:v>Pão de Açúcar</x:v>
      </x:c>
      <x:c r="E215" t="n">
        <x:v>2026</x:v>
      </x:c>
    </x:row>
    <x:row r="216">
      <x:c r="A216" t="str">
        <x:v>Síria</x:v>
      </x:c>
      <x:c r="B216" s="22"/>
      <x:c r="C216" t="str"/>
      <x:c r="D216" t="str">
        <x:v>Pão de Açúcar</x:v>
      </x:c>
      <x:c r="E216" t="n">
        <x:v>2026</x:v>
      </x:c>
    </x:row>
    <x:row r="217">
      <x:c r="A217" t="str">
        <x:v>Ilhas Turcas e Caicos</x:v>
      </x:c>
      <x:c r="B217" s="22"/>
      <x:c r="C217" t="str"/>
      <x:c r="D217" t="str">
        <x:v>Pão de Açúcar</x:v>
      </x:c>
      <x:c r="E217" t="n">
        <x:v>2026</x:v>
      </x:c>
    </x:row>
    <x:row r="218">
      <x:c r="A218" t="str">
        <x:v>Chade</x:v>
      </x:c>
      <x:c r="B218" s="22"/>
      <x:c r="C218" t="str"/>
      <x:c r="D218" t="str">
        <x:v>Pão de Açúcar</x:v>
      </x:c>
      <x:c r="E218" t="n">
        <x:v>2026</x:v>
      </x:c>
    </x:row>
    <x:row r="219">
      <x:c r="A219" t="str">
        <x:v>Togo</x:v>
      </x:c>
      <x:c r="B219" s="22"/>
      <x:c r="C219" t="str"/>
      <x:c r="D219" t="str">
        <x:v>Pão de Açúcar</x:v>
      </x:c>
      <x:c r="E219" t="n">
        <x:v>2026</x:v>
      </x:c>
    </x:row>
    <x:row r="220">
      <x:c r="A220" t="str">
        <x:v>Armênia</x:v>
      </x:c>
      <x:c r="B220" s="22"/>
      <x:c r="C220" t="str"/>
      <x:c r="D220" t="str">
        <x:v>Pão de Açúcar</x:v>
      </x:c>
      <x:c r="E220" t="n">
        <x:v>2026</x:v>
      </x:c>
    </x:row>
    <x:row r="221">
      <x:c r="A221" t="str">
        <x:v>Tadjiquistão</x:v>
      </x:c>
      <x:c r="B221" s="22"/>
      <x:c r="C221" t="str"/>
      <x:c r="D221" t="str">
        <x:v>Pão de Açúcar</x:v>
      </x:c>
      <x:c r="E221" t="n">
        <x:v>2026</x:v>
      </x:c>
    </x:row>
    <x:row r="222">
      <x:c r="A222" t="str">
        <x:v>Tokelau</x:v>
      </x:c>
      <x:c r="B222" s="22"/>
      <x:c r="C222" t="str"/>
      <x:c r="D222" t="str">
        <x:v>Pão de Açúcar</x:v>
      </x:c>
      <x:c r="E222" t="n">
        <x:v>2026</x:v>
      </x:c>
    </x:row>
    <x:row r="223">
      <x:c r="A223" t="str">
        <x:v>Turcomenistão</x:v>
      </x:c>
      <x:c r="B223" s="22"/>
      <x:c r="C223" t="str"/>
      <x:c r="D223" t="str">
        <x:v>Pão de Açúcar</x:v>
      </x:c>
      <x:c r="E223" t="n">
        <x:v>2026</x:v>
      </x:c>
    </x:row>
    <x:row r="224">
      <x:c r="A224" t="str">
        <x:v>Timor-Leste</x:v>
      </x:c>
      <x:c r="B224" s="22"/>
      <x:c r="C224" t="str"/>
      <x:c r="D224" t="str">
        <x:v>Pão de Açúcar</x:v>
      </x:c>
      <x:c r="E224" t="n">
        <x:v>2026</x:v>
      </x:c>
    </x:row>
    <x:row r="225">
      <x:c r="A225" t="str">
        <x:v>Tonga</x:v>
      </x:c>
      <x:c r="B225" s="22"/>
      <x:c r="C225" t="str"/>
      <x:c r="D225" t="str">
        <x:v>Pão de Açúcar</x:v>
      </x:c>
      <x:c r="E225" t="n">
        <x:v>2026</x:v>
      </x:c>
    </x:row>
    <x:row r="226">
      <x:c r="A226" t="str">
        <x:v>Trinidad e Tobago</x:v>
      </x:c>
      <x:c r="B226" s="22"/>
      <x:c r="C226" t="str"/>
      <x:c r="D226" t="str">
        <x:v>Pão de Açúcar</x:v>
      </x:c>
      <x:c r="E226" t="n">
        <x:v>2026</x:v>
      </x:c>
    </x:row>
    <x:row r="227">
      <x:c r="A227" t="str">
        <x:v>Tunísia</x:v>
      </x:c>
      <x:c r="B227" s="22"/>
      <x:c r="C227" t="str"/>
      <x:c r="D227" t="str">
        <x:v>Pão de Açúcar</x:v>
      </x:c>
      <x:c r="E227" t="n">
        <x:v>2026</x:v>
      </x:c>
    </x:row>
    <x:row r="228">
      <x:c r="A228" t="str">
        <x:v>Emirados Árabes Unidos</x:v>
      </x:c>
      <x:c r="B228" s="22"/>
      <x:c r="C228" t="str"/>
      <x:c r="D228" t="str">
        <x:v>Pão de Açúcar</x:v>
      </x:c>
      <x:c r="E228" t="n">
        <x:v>2026</x:v>
      </x:c>
    </x:row>
    <x:row r="229">
      <x:c r="A229" t="str">
        <x:v>Tuvalu</x:v>
      </x:c>
      <x:c r="B229" s="22"/>
      <x:c r="C229" t="str"/>
      <x:c r="D229" t="str">
        <x:v>Pão de Açúcar</x:v>
      </x:c>
      <x:c r="E229" t="n">
        <x:v>2026</x:v>
      </x:c>
    </x:row>
    <x:row r="230">
      <x:c r="A230" t="str">
        <x:v>Andorra</x:v>
      </x:c>
      <x:c r="B230" s="22"/>
      <x:c r="C230" t="str"/>
      <x:c r="D230" t="str">
        <x:v>Pão de Açúcar</x:v>
      </x:c>
      <x:c r="E230" t="n">
        <x:v>2026</x:v>
      </x:c>
    </x:row>
    <x:row r="231">
      <x:c r="A231" t="str">
        <x:v>Tanzânia</x:v>
      </x:c>
      <x:c r="B231" s="22"/>
      <x:c r="C231" t="str"/>
      <x:c r="D231" t="str">
        <x:v>Pão de Açúcar</x:v>
      </x:c>
      <x:c r="E231" t="n">
        <x:v>2026</x:v>
      </x:c>
    </x:row>
    <x:row r="232">
      <x:c r="A232" t="str">
        <x:v>Uganda</x:v>
      </x:c>
      <x:c r="B232" s="22"/>
      <x:c r="C232" t="str"/>
      <x:c r="D232" t="str">
        <x:v>Pão de Açúcar</x:v>
      </x:c>
      <x:c r="E232" t="n">
        <x:v>2026</x:v>
      </x:c>
    </x:row>
    <x:row r="233">
      <x:c r="A233" t="str">
        <x:v>Ucrânia</x:v>
      </x:c>
      <x:c r="B233" s="22"/>
      <x:c r="C233" t="str"/>
      <x:c r="D233" t="str">
        <x:v>Pão de Açúcar</x:v>
      </x:c>
      <x:c r="E233" t="n">
        <x:v>2026</x:v>
      </x:c>
    </x:row>
    <x:row r="234">
      <x:c r="A234" t="str">
        <x:v>Ilhas Menores Distantes dos EUA</x:v>
      </x:c>
      <x:c r="B234" s="22"/>
      <x:c r="C234" t="str"/>
      <x:c r="D234" t="str">
        <x:v>Pão de Açúcar</x:v>
      </x:c>
      <x:c r="E234" t="n">
        <x:v>2026</x:v>
      </x:c>
    </x:row>
    <x:row r="235">
      <x:c r="A235" t="str">
        <x:v>Albânia</x:v>
      </x:c>
      <x:c r="B235" s="22"/>
      <x:c r="C235" t="str"/>
      <x:c r="D235" t="str">
        <x:v>Pão de Açúcar</x:v>
      </x:c>
      <x:c r="E235" t="n">
        <x:v>2026</x:v>
      </x:c>
    </x:row>
    <x:row r="236">
      <x:c r="A236" t="str">
        <x:v>Ilhas Aland</x:v>
      </x:c>
      <x:c r="B236" s="22"/>
      <x:c r="C236" t="str"/>
      <x:c r="D236" t="str">
        <x:v>Pão de Açúcar</x:v>
      </x:c>
      <x:c r="E236" t="n">
        <x:v>2026</x:v>
      </x:c>
    </x:row>
    <x:row r="237">
      <x:c r="A237" t="str">
        <x:v>Uzbequistão</x:v>
      </x:c>
      <x:c r="B237" s="22"/>
      <x:c r="C237" t="str"/>
      <x:c r="D237" t="str">
        <x:v>Pão de Açúcar</x:v>
      </x:c>
      <x:c r="E237" t="n">
        <x:v>2026</x:v>
      </x:c>
    </x:row>
    <x:row r="238">
      <x:c r="A238" t="str">
        <x:v>Cidade do Vaticano</x:v>
      </x:c>
      <x:c r="B238" s="22"/>
      <x:c r="C238" t="str"/>
      <x:c r="D238" t="str">
        <x:v>Pão de Açúcar</x:v>
      </x:c>
      <x:c r="E238" t="n">
        <x:v>2026</x:v>
      </x:c>
    </x:row>
    <x:row r="239">
      <x:c r="A239" t="str">
        <x:v>São Vicente e Granadinas</x:v>
      </x:c>
      <x:c r="B239" s="22"/>
      <x:c r="C239" t="str"/>
      <x:c r="D239" t="str">
        <x:v>Pão de Açúcar</x:v>
      </x:c>
      <x:c r="E239" t="n">
        <x:v>2026</x:v>
      </x:c>
    </x:row>
    <x:row r="240">
      <x:c r="A240" t="str">
        <x:v>Anguila</x:v>
      </x:c>
      <x:c r="B240" s="22"/>
      <x:c r="C240" t="str"/>
      <x:c r="D240" t="str">
        <x:v>Pão de Açúcar</x:v>
      </x:c>
      <x:c r="E240" t="n">
        <x:v>2026</x:v>
      </x:c>
    </x:row>
    <x:row r="241">
      <x:c r="A241" t="str">
        <x:v>Ilhas Virgens Britânicas</x:v>
      </x:c>
      <x:c r="B241" s="22"/>
      <x:c r="C241" t="str"/>
      <x:c r="D241" t="str">
        <x:v>Pão de Açúcar</x:v>
      </x:c>
      <x:c r="E241" t="n">
        <x:v>2026</x:v>
      </x:c>
    </x:row>
    <x:row r="242">
      <x:c r="A242" t="str">
        <x:v>Ilhas Virgens Americanas</x:v>
      </x:c>
      <x:c r="B242" s="22"/>
      <x:c r="C242" t="str"/>
      <x:c r="D242" t="str">
        <x:v>Pão de Açúcar</x:v>
      </x:c>
      <x:c r="E242" t="n">
        <x:v>2026</x:v>
      </x:c>
    </x:row>
    <x:row r="243">
      <x:c r="A243" t="str">
        <x:v>Afeganistão</x:v>
      </x:c>
      <x:c r="B243" s="22"/>
      <x:c r="C243" t="str"/>
      <x:c r="D243" t="str">
        <x:v>Pão de Açúcar</x:v>
      </x:c>
      <x:c r="E243" t="n">
        <x:v>2026</x:v>
      </x:c>
    </x:row>
    <x:row r="244">
      <x:c r="A244" t="str">
        <x:v>Vanuatu</x:v>
      </x:c>
      <x:c r="B244" s="22"/>
      <x:c r="C244" t="str"/>
      <x:c r="D244" t="str">
        <x:v>Pão de Açúcar</x:v>
      </x:c>
      <x:c r="E244" t="n">
        <x:v>2026</x:v>
      </x:c>
    </x:row>
    <x:row r="245">
      <x:c r="A245" t="str">
        <x:v>Wallis e Futuna</x:v>
      </x:c>
      <x:c r="B245" s="22"/>
      <x:c r="C245" t="str"/>
      <x:c r="D245" t="str">
        <x:v>Pão de Açúcar</x:v>
      </x:c>
      <x:c r="E245" t="n">
        <x:v>2026</x:v>
      </x:c>
    </x:row>
    <x:row r="246">
      <x:c r="A246" t="str">
        <x:v>Samoa</x:v>
      </x:c>
      <x:c r="B246" s="22"/>
      <x:c r="C246" t="str"/>
      <x:c r="D246" t="str">
        <x:v>Pão de Açúcar</x:v>
      </x:c>
      <x:c r="E246" t="n">
        <x:v>2026</x:v>
      </x:c>
    </x:row>
    <x:row r="247">
      <x:c r="A247" t="str">
        <x:v>Kosovo</x:v>
      </x:c>
      <x:c r="B247" s="22"/>
      <x:c r="C247" t="str"/>
      <x:c r="D247" t="str">
        <x:v>Pão de Açúcar</x:v>
      </x:c>
      <x:c r="E247" t="n">
        <x:v>2026</x:v>
      </x:c>
    </x:row>
    <x:row r="248">
      <x:c r="A248" t="str">
        <x:v>Iêmen</x:v>
      </x:c>
      <x:c r="B248" s="22"/>
      <x:c r="C248" t="str"/>
      <x:c r="D248" t="str">
        <x:v>Pão de Açúcar</x:v>
      </x:c>
      <x:c r="E248" t="n">
        <x:v>2026</x:v>
      </x:c>
    </x:row>
    <x:row r="249">
      <x:c r="A249" t="str">
        <x:v>Libéria</x:v>
      </x:c>
      <x:c r="B249" s="22"/>
      <x:c r="C249" t="str"/>
      <x:c r="D249" t="str">
        <x:v>Pão de Açúcar</x:v>
      </x:c>
      <x:c r="E249" t="n">
        <x:v>2026</x:v>
      </x:c>
    </x:row>
    <x:row r="250">
      <x:c r="A250" t="str">
        <x:v>Zâmbia</x:v>
      </x:c>
      <x:c r="B250" s="22"/>
      <x:c r="C250" t="str"/>
      <x:c r="D250" t="str">
        <x:v>Pão de Açúcar</x:v>
      </x:c>
      <x:c r="E250" t="n">
        <x:v>2026</x:v>
      </x:c>
    </x:row>
    <x:row r="251">
      <x:c r="A251" t="str">
        <x:v>Montserrat</x:v>
      </x:c>
      <x:c r="B251" s="22"/>
      <x:c r="C251" t="str"/>
      <x:c r="D251" t="str">
        <x:v>Pão de Açúcar</x:v>
      </x:c>
      <x:c r="E251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3a8fd39ed9b645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5" hidden="0" customWidth="1"/>
    <x:col min="4" max="4" width="12" hidden="0" customWidth="1"/>
    <x:col min="5" max="5" width="15" hidden="0" customWidth="1"/>
    <x:col min="6" max="6" width="15" hidden="0" customWidth="1"/>
    <x:col min="7" max="7" width="20" hidden="0" customWidth="1"/>
    <x:col min="8" max="8" width="18" hidden="0" customWidth="1"/>
  </x:cols>
  <x:sheetData>
    <x:row r="1">
      <x:c r="A1" s="7" t="str">
        <x:v>mercado_codigo</x:v>
      </x:c>
      <x:c r="B1" s="7" t="str">
        <x:v>mercado</x:v>
      </x:c>
      <x:c r="C1" s="7" t="str">
        <x:v>media_2026</x:v>
      </x:c>
      <x:c r="D1" s="7" t="str">
        <x:v>yoy_pct</x:v>
      </x:c>
      <x:c r="E1" s="7" t="str">
        <x:v>momentum_pct</x:v>
      </x:c>
      <x:c r="F1" s="7" t="str">
        <x:v>volatilidade</x:v>
      </x:c>
      <x:c r="G1" s="7" t="str">
        <x:v>melhor_mes_sazonal</x:v>
      </x:c>
      <x:c r="H1" s="7" t="str">
        <x:v>indice_melhor_mes</x:v>
      </x:c>
    </x:row>
    <x:row r="2">
      <x:c r="A2" t="str">
        <x:v>BR</x:v>
      </x:c>
      <x:c r="B2" t="str">
        <x:v>Brasil</x:v>
      </x:c>
      <x:c r="C2" s="22" t="n">
        <x:f>resumo_mercados!D2</x:f>
        <x:v>82.125</x:v>
      </x:c>
      <x:c r="D2" s="24" t="n">
        <x:f>resumo_mercados!E2</x:f>
        <x:v>0.018604651162790642</x:v>
      </x:c>
      <x:c r="E2" s="24" t="n">
        <x:f>resumo_mercados!H2</x:f>
        <x:v>-0.053497942386831254</x:v>
      </x:c>
      <x:c r="F2" s="24" t="n">
        <x:f>resumo_mercados!I2</x:f>
        <x:v>0.12368076893135503</x:v>
      </x:c>
      <x:c r="G2" t="str">
        <x:v>Fev</x:v>
      </x:c>
      <x:c r="H2" s="26" t="n">
        <x:v>1.139916023296763</x:v>
      </x:c>
    </x:row>
    <x:row r="3">
      <x:c r="A3" t="str">
        <x:v>AR</x:v>
      </x:c>
      <x:c r="B3" t="str">
        <x:v>Argentina</x:v>
      </x:c>
      <x:c r="C3" s="22" t="n">
        <x:f>resumo_mercados!D3</x:f>
        <x:v>52.75</x:v>
      </x:c>
      <x:c r="D3" s="24" t="n">
        <x:f>resumo_mercados!E3</x:f>
        <x:v>-0.0495495495495496</x:v>
      </x:c>
      <x:c r="E3" s="24" t="n">
        <x:f>resumo_mercados!H3</x:f>
        <x:v>-0.29861111111111116</x:v>
      </x:c>
      <x:c r="F3" s="24" t="n">
        <x:f>resumo_mercados!I3</x:f>
        <x:v>0.3896135317728953</x:v>
      </x:c>
      <x:c r="G3" t="str">
        <x:v>Jan</x:v>
      </x:c>
      <x:c r="H3" s="26" t="n">
        <x:v>1.697903294822422</x:v>
      </x:c>
    </x:row>
    <x:row r="4">
      <x:c r="A4" t="str">
        <x:v>CL</x:v>
      </x:c>
      <x:c r="B4" t="str">
        <x:v>Chile</x:v>
      </x:c>
      <x:c r="C4" s="22" t="n">
        <x:f>resumo_mercados!D4</x:f>
        <x:v>42.5</x:v>
      </x:c>
      <x:c r="D4" s="24" t="n">
        <x:f>resumo_mercados!E4</x:f>
        <x:v>-0.26881720430107525</x:v>
      </x:c>
      <x:c r="E4" s="24" t="n">
        <x:f>resumo_mercados!H4</x:f>
        <x:v>-0.3017241379310345</x:v>
      </x:c>
      <x:c r="F4" s="24" t="n">
        <x:f>resumo_mercados!I4</x:f>
        <x:v>0.3590712709793818</x:v>
      </x:c>
      <x:c r="G4" t="str">
        <x:v>Jan</x:v>
      </x:c>
      <x:c r="H4" s="26" t="n">
        <x:v>1.6140350877192984</x:v>
      </x:c>
    </x:row>
    <x:row r="5">
      <x:c r="A5" t="str">
        <x:v>CO</x:v>
      </x:c>
      <x:c r="B5" t="str">
        <x:v>Colômbia</x:v>
      </x:c>
      <x:c r="C5" s="22" t="n">
        <x:f>resumo_mercados!D5</x:f>
        <x:v>80.125</x:v>
      </x:c>
      <x:c r="D5" s="24" t="n">
        <x:f>resumo_mercados!E5</x:f>
        <x:v>0.10708117443868748</x:v>
      </x:c>
      <x:c r="E5" s="24" t="n">
        <x:f>resumo_mercados!H5</x:f>
        <x:v>-0.06639004149377592</x:v>
      </x:c>
      <x:c r="F5" s="24" t="n">
        <x:f>resumo_mercados!I5</x:f>
        <x:v>0.35747543669657184</x:v>
      </x:c>
      <x:c r="G5" t="str">
        <x:v>Abr</x:v>
      </x:c>
      <x:c r="H5" s="26" t="n">
        <x:v>1.1008303677342823</x:v>
      </x:c>
    </x:row>
    <x:row r="6">
      <x:c r="A6" t="str">
        <x:v>UY</x:v>
      </x:c>
      <x:c r="B6" t="str">
        <x:v>Uruguai</x:v>
      </x:c>
      <x:c r="C6" s="22" t="n">
        <x:f>resumo_mercados!D6</x:f>
        <x:v>50</x:v>
      </x:c>
      <x:c r="D6" s="24" t="n">
        <x:f>resumo_mercados!E6</x:f>
        <x:v>-0.06542056074766356</x:v>
      </x:c>
      <x:c r="E6" s="24" t="n">
        <x:f>resumo_mercados!H6</x:f>
        <x:v>-0.13669064748201443</x:v>
      </x:c>
      <x:c r="F6" s="24" t="n">
        <x:f>resumo_mercados!I6</x:f>
        <x:v>0.6314169915705151</x:v>
      </x:c>
      <x:c r="G6" t="str">
        <x:v>Jan</x:v>
      </x:c>
      <x:c r="H6" s="26" t="n">
        <x:v>1.6260162601626018</x:v>
      </x:c>
    </x:row>
    <x:row r="7">
      <x:c r="A7" t="str">
        <x:v>US</x:v>
      </x:c>
      <x:c r="B7" t="str">
        <x:v>Estados Unidos</x:v>
      </x:c>
      <x:c r="C7" s="22" t="n">
        <x:f>resumo_mercados!D7</x:f>
        <x:v>76.875</x:v>
      </x:c>
      <x:c r="D7" s="24" t="n">
        <x:f>resumo_mercados!E7</x:f>
        <x:v>0.268041237113402</x:v>
      </x:c>
      <x:c r="E7" s="24" t="n">
        <x:f>resumo_mercados!H7</x:f>
        <x:v>-0.27710843373493976</x:v>
      </x:c>
      <x:c r="F7" s="24" t="n">
        <x:f>resumo_mercados!I7</x:f>
        <x:v>0.26312526633558536</x:v>
      </x:c>
      <x:c r="G7" t="str">
        <x:v>Fev</x:v>
      </x:c>
      <x:c r="H7" s="26" t="n">
        <x:v>1.214630779848171</x:v>
      </x:c>
    </x:row>
    <x:row r="8">
      <x:c r="A8" t="str">
        <x:v>FR</x:v>
      </x:c>
      <x:c r="B8" t="str">
        <x:v>França</x:v>
      </x:c>
      <x:c r="C8" s="22" t="n">
        <x:f>resumo_mercados!D8</x:f>
        <x:v>59.375</x:v>
      </x:c>
      <x:c r="D8" s="24" t="n">
        <x:f>resumo_mercados!E8</x:f>
        <x:v>0.11502347417840375</x:v>
      </x:c>
      <x:c r="E8" s="24" t="n">
        <x:f>resumo_mercados!H8</x:f>
        <x:v>-0.19161676646706582</x:v>
      </x:c>
      <x:c r="F8" s="24" t="n">
        <x:f>resumo_mercados!I8</x:f>
        <x:v>0.24460243679425714</x:v>
      </x:c>
      <x:c r="G8" t="str">
        <x:v>Fev</x:v>
      </x:c>
      <x:c r="H8" s="26" t="n">
        <x:v>1.4113193261404506</x:v>
      </x:c>
    </x:row>
    <x:row r="9">
      <x:c r="A9" t="str">
        <x:v>WORLD</x:v>
      </x:c>
      <x:c r="B9" t="str">
        <x:v>Mundo</x:v>
      </x:c>
      <x:c r="C9" s="22" t="n">
        <x:f>resumo_mercados!D9</x:f>
        <x:v>80.375</x:v>
      </x:c>
      <x:c r="D9" s="24" t="n">
        <x:f>resumo_mercados!E9</x:f>
        <x:v>0.062809917355372</x:v>
      </x:c>
      <x:c r="E9" s="24" t="n">
        <x:f>resumo_mercados!H9</x:f>
        <x:v>-0.09051724137931039</x:v>
      </x:c>
      <x:c r="F9" s="24" t="n">
        <x:f>resumo_mercados!I9</x:f>
        <x:v>0.15803815986917902</x:v>
      </x:c>
      <x:c r="G9" t="str">
        <x:v>Jan</x:v>
      </x:c>
      <x:c r="H9" s="26" t="n">
        <x:v>1.230055120394546</x:v>
      </x:c>
    </x:row>
  </x:sheetData>
  <x:pageMargins left="0.7" right="0.7" top="0.75" bottom="0.75" header="0.3" footer="0.3"/>
  <x:drawing xmlns:r="http://schemas.openxmlformats.org/officeDocument/2006/relationships" r:id="Rb345cf5d955c43c3"/>
  <x:tableParts count="1">
    <x:tablePart xmlns:r="http://schemas.openxmlformats.org/officeDocument/2006/relationships" r:id="Rc89a6989a53d4e24"/>
  </x:tableParts>
</x:worksheet>
</file>